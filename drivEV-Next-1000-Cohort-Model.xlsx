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sumptions" state="visible" r:id="rId4"/>
    <sheet sheetId="2" name="Model" state="visible" r:id="rId5"/>
    <sheet sheetId="3" name="Summary" state="visible" r:id="rId6"/>
    <sheet sheetId="4" name="Notes" state="visible" r:id="rId7"/>
  </sheets>
  <calcPr calcId="171027"/>
</workbook>
</file>

<file path=xl/sharedStrings.xml><?xml version="1.0" encoding="utf-8"?>
<sst xmlns="http://schemas.openxmlformats.org/spreadsheetml/2006/main" count="122" uniqueCount="114">
  <si>
    <t>drivEV — Next 1,000 Cohort Model · Assumptions (illustrative)</t>
  </si>
  <si>
    <t>Parameter</t>
  </si>
  <si>
    <t>B2B Expand</t>
  </si>
  <si>
    <t>chargEV X-sell</t>
  </si>
  <si>
    <t>Salary Sacrifice</t>
  </si>
  <si>
    <t>Direct B2C</t>
  </si>
  <si>
    <t>Net unit target (info)</t>
  </si>
  <si>
    <t>CAC (RM)</t>
  </si>
  <si>
    <t>Monthly churn %</t>
  </si>
  <si>
    <t>Monthly revenue / unit (RM)</t>
  </si>
  <si>
    <t>Contribution margin %</t>
  </si>
  <si>
    <t>Avg asset value (RM)</t>
  </si>
  <si>
    <t>36-mo residual value (% of cost)</t>
  </si>
  <si>
    <t>Avg tenor (months)</t>
  </si>
  <si>
    <t>Capital structure (asset-light SPV)</t>
  </si>
  <si>
    <t>Senior sukuk — share / rate</t>
  </si>
  <si>
    <t>Mezzanine — share / rate</t>
  </si>
  <si>
    <t>Equity — share</t>
  </si>
  <si>
    <t>Residual value downside shock</t>
  </si>
  <si>
    <t>Opening book (existing units, B2B)</t>
  </si>
  <si>
    <t>drivEV — 36-Month Cohort Model (editable; formulas reference Assumptions)</t>
  </si>
  <si>
    <t>Month</t>
  </si>
  <si>
    <t>Label</t>
  </si>
  <si>
    <t>Add B2B</t>
  </si>
  <si>
    <t>Add chgEV</t>
  </si>
  <si>
    <t>Add SalSac</t>
  </si>
  <si>
    <t>Add B2C</t>
  </si>
  <si>
    <t>Book B2B</t>
  </si>
  <si>
    <t>Book chgEV</t>
  </si>
  <si>
    <t>Book SalSac</t>
  </si>
  <si>
    <t>Book B2C</t>
  </si>
  <si>
    <t>Total Book</t>
  </si>
  <si>
    <t>Revenue</t>
  </si>
  <si>
    <t>Contribution</t>
  </si>
  <si>
    <t>CAC spend</t>
  </si>
  <si>
    <t>Net after CAC</t>
  </si>
  <si>
    <t>Asset base</t>
  </si>
  <si>
    <t>Senior</t>
  </si>
  <si>
    <t>Mezz</t>
  </si>
  <si>
    <t>Equity</t>
  </si>
  <si>
    <t>Funding cost/mo</t>
  </si>
  <si>
    <t>M0 (open)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</si>
  <si>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</si>
  <si>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</si>
  <si>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</si>
  <si>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</si>
  <si>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</si>
  <si>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</si>
  <si>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</si>
  <si>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</si>
  <si>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</si>
  <si>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</si>
  <si>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</si>
  <si>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</si>
  <si>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</si>
  <si>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</si>
  <si>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</si>
  <si>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</si>
  <si>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</si>
  <si>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</si>
  <si>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</si>
  <si>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</si>
  <si>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</si>
  <si>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</si>
  <si>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</si>
  <si>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</si>
  <si>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</si>
  <si>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</si>
  <si>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</si>
  <si>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</si>
  <si>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</si>
  <si>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</si>
  <si>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</si>
  <si>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</si>
  <si>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</si>
  <si>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</si>
  <si>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</si>
  <si>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</si>
  <si>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drivEV — Next 1,000 · Model Summary</t>
  </si>
  <si>
    <t>Opening book (units)</t>
  </si>
  <si>
    <t>Ending total book — M36 (units)</t>
  </si>
  <si>
    <t>Net new units added</t>
  </si>
  <si>
    <t>Ending book by channel (units)</t>
  </si>
  <si>
    <t xml:space="preserve">  B2B Expand</t>
  </si>
  <si>
    <t xml:space="preserve">  chargEV X-sell</t>
  </si>
  <si>
    <t xml:space="preserve">  Salary Sacrifice</t>
  </si>
  <si>
    <t xml:space="preserve">  Direct B2C</t>
  </si>
  <si>
    <t>Peak asset base (RM)</t>
  </si>
  <si>
    <t>Peak equity required (RM)</t>
  </si>
  <si>
    <t>Cumulative CAC spend (RM)</t>
  </si>
  <si>
    <t>Cumulative net contribution after CAC (RM)</t>
  </si>
  <si>
    <t>Residual value exposure at M36 (RM)</t>
  </si>
  <si>
    <t>RV downside exposure (−15% shock) (RM)</t>
  </si>
  <si>
    <t>Unit economics by channel</t>
  </si>
  <si>
    <t>Channel</t>
  </si>
  <si>
    <t>LTV (RM)</t>
  </si>
  <si>
    <t>LTV:CAC</t>
  </si>
  <si>
    <t>drivEV — Next 1,000 Cohort Model — Notes</t>
  </si>
  <si>
    <t/>
  </si>
  <si>
    <t>Scope: "Next 1,000" = 1,000 net new units on the book (opening ~400 -&gt; ~1,400 over 36 months),</t>
  </si>
  <si>
    <t>sourced across four channels: B2B land-and-expand, chargEV cross-sell, Salary Sacrifice (the B2B-&gt;B2C bridge), Direct B2C.</t>
  </si>
  <si>
    <t>How to use: edit the Assumptions sheet (rates, capital structure, RV) — the Model and Summary recalculate on open in Excel/Sheets.</t>
  </si>
  <si>
    <t>Add schedules (Model cols C–F) are editable inputs; book, revenue, contribution, capital are formulas.</t>
  </si>
  <si>
    <t>Key modelling choices:</t>
  </si>
  <si>
    <t>• Churn: a subscriber/lessee swap is treated as a TERMINATION (book reduces by churn each month), so churn cannot hide as "continuation".</t>
  </si>
  <si>
    <t>• Residual value (RV) is the live threat: RV% of cost is an explicit assumption; Summary shows RV exposure at M36 and a -15% downside shock.</t>
  </si>
  <si>
    <t xml:space="preserve">  Mitigation (not in cashflows): push RV guarantees/buyback onto OEMs/distributors at order time; favour shorter tenor on volatile models.</t>
  </si>
  <si>
    <t>• Capital is asset-light via an SPV: senior sukuk (cheap, leans on Yinson rating) + mezzanine + thin equity. Edit shares/rates in Assumptions.</t>
  </si>
  <si>
    <t>• Credit risk: Salary Sacrifice &amp; B2B are payroll/corporate (underwriting largely neutralised); Direct B2C carries the real credit + churn risk (highest CAC, churn, shortest tenor here).</t>
  </si>
  <si>
    <t>CAVEATS (validate before relying):</t>
  </si>
  <si>
    <t>• Salary-sacrifice tax efficiency is UK-Octopus logic (UK BiK EV exemption). Malaysia BIK/perquisite treatment differs and has no direct equivalent —</t>
  </si>
  <si>
    <t xml:space="preserve">  the driver tax benefit is an ASSUMPTION to validate for MY; the payroll-deduction credit benefit holds regardless.</t>
  </si>
  <si>
    <t>• All figures are illustrative planning assumptions, not committed numbers. Compliance gates per COMPLIANCE-RESEARCH.md (PDPA, closed-loop Eco-Credits,</t>
  </si>
  <si>
    <t xml:space="preserve">  Consumer Credit Act for B2C financing, FSA score-and-refer for insurance). Obtain Malaysian counsel sign-off.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</si>
</sst>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RM&quot;#,##0"/>
    <numFmt numFmtId="165" formatCode="0.0%"/>
    <numFmt numFmtId="166" formatCode="0.0&quot;x&quot;"/>
  </numFmts>
  <fonts count="5" x14ac:knownFonts="1">
    <font>
      <color theme="1"/>
      <family val="2"/>
      <scheme val="minor"/>
      <sz val="11"/>
      <name val="Calibri"/>
    </font>
    <font>
      <b/>
      <sz val="13"/>
    </font>
    <font>
      <b/>
    </font>
    <font>
      <b/>
      <sz val="12"/>
    </font>
    <font>
      <b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2" fillId="0" borderId="0" xfId="0" applyFont="1" applyAlignment="1">
      <alignment wrapText="1"/>
    </xf>
    <xf numFmtId="3" fontId="2" fillId="0" borderId="0" xfId="0" applyNumberFormat="1" applyFont="1"/>
    <xf numFmtId="0" fontId="4" fillId="0" borderId="0" xfId="0" applyFont="1"/>
    <xf numFmtId="164" fontId="2" fillId="0" borderId="0" xfId="0" applyNumberFormat="1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FormatPr defaultRowHeight="15" outlineLevelRow="0" outlineLevelCol="0" x14ac:dyDescent="55"/>
  <cols>
    <col min="1" max="1" width="34" customWidth="1"/>
    <col min="2" max="5" width="16" customWidth="1"/>
  </cols>
  <sheetData>
    <row r="1" spans="1:1" x14ac:dyDescent="0.25">
      <c r="A1" s="1" t="s">
        <v>0</v>
      </c>
    </row>
    <row r="3" spans="1:5" s="2" customForma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x14ac:dyDescent="0.25">
      <c r="A4" t="s">
        <v>6</v>
      </c>
      <c r="B4" s="3">
        <v>400</v>
      </c>
      <c r="C4" s="3">
        <v>150</v>
      </c>
      <c r="D4" s="3">
        <v>300</v>
      </c>
      <c r="E4" s="3">
        <v>150</v>
      </c>
    </row>
    <row r="5" spans="1:5" x14ac:dyDescent="0.25">
      <c r="A5" t="s">
        <v>7</v>
      </c>
      <c r="B5" s="4">
        <v>350</v>
      </c>
      <c r="C5" s="4">
        <v>600</v>
      </c>
      <c r="D5" s="4">
        <v>250</v>
      </c>
      <c r="E5" s="4">
        <v>1500</v>
      </c>
    </row>
    <row r="6" spans="1:5" x14ac:dyDescent="0.25">
      <c r="A6" t="s">
        <v>8</v>
      </c>
      <c r="B6" s="5">
        <v>0.005</v>
      </c>
      <c r="C6" s="5">
        <v>0.008</v>
      </c>
      <c r="D6" s="5">
        <v>0.01</v>
      </c>
      <c r="E6" s="5">
        <v>0.025</v>
      </c>
    </row>
    <row r="7" spans="1:5" x14ac:dyDescent="0.25">
      <c r="A7" t="s">
        <v>9</v>
      </c>
      <c r="B7" s="4">
        <v>2600</v>
      </c>
      <c r="C7" s="4">
        <v>2600</v>
      </c>
      <c r="D7" s="4">
        <v>2400</v>
      </c>
      <c r="E7" s="4">
        <v>2900</v>
      </c>
    </row>
    <row r="8" spans="1:5" x14ac:dyDescent="0.25">
      <c r="A8" t="s">
        <v>10</v>
      </c>
      <c r="B8" s="5">
        <v>0.22</v>
      </c>
      <c r="C8" s="5">
        <v>0.22</v>
      </c>
      <c r="D8" s="5">
        <v>0.2</v>
      </c>
      <c r="E8" s="5">
        <v>0.18</v>
      </c>
    </row>
    <row r="9" spans="1:5" x14ac:dyDescent="0.25">
      <c r="A9" t="s">
        <v>11</v>
      </c>
      <c r="B9" s="4">
        <v>170000</v>
      </c>
      <c r="C9" s="4">
        <v>170000</v>
      </c>
      <c r="D9" s="4">
        <v>150000</v>
      </c>
      <c r="E9" s="4">
        <v>200000</v>
      </c>
    </row>
    <row r="10" spans="1:5" x14ac:dyDescent="0.25">
      <c r="A10" t="s">
        <v>12</v>
      </c>
      <c r="B10" s="5">
        <v>0.45</v>
      </c>
      <c r="C10" s="5">
        <v>0.45</v>
      </c>
      <c r="D10" s="5">
        <v>0.48</v>
      </c>
      <c r="E10" s="5">
        <v>0.42</v>
      </c>
    </row>
    <row r="11" spans="1:5" x14ac:dyDescent="0.25">
      <c r="A11" t="s">
        <v>13</v>
      </c>
      <c r="B11" s="3">
        <v>30</v>
      </c>
      <c r="C11" s="3">
        <v>30</v>
      </c>
      <c r="D11" s="3">
        <v>24</v>
      </c>
      <c r="E11" s="3">
        <v>18</v>
      </c>
    </row>
    <row r="13" spans="1:1" x14ac:dyDescent="0.25">
      <c r="A13" s="2" t="s">
        <v>14</v>
      </c>
    </row>
    <row r="14" spans="1:3" x14ac:dyDescent="0.25">
      <c r="A14" t="s">
        <v>15</v>
      </c>
      <c r="B14" s="5">
        <v>0.7</v>
      </c>
      <c r="C14" s="5">
        <v>0.045</v>
      </c>
    </row>
    <row r="15" spans="1:3" x14ac:dyDescent="0.25">
      <c r="A15" t="s">
        <v>16</v>
      </c>
      <c r="B15" s="5">
        <v>0.2</v>
      </c>
      <c r="C15" s="5">
        <v>0.09</v>
      </c>
    </row>
    <row r="16" spans="1:2" x14ac:dyDescent="0.25">
      <c r="A16" t="s">
        <v>17</v>
      </c>
      <c r="B16" s="5">
        <v>0.1</v>
      </c>
    </row>
    <row r="17" spans="1:2" x14ac:dyDescent="0.25">
      <c r="A17" t="s">
        <v>18</v>
      </c>
      <c r="B17" s="5">
        <v>-0.15</v>
      </c>
    </row>
    <row r="18" spans="1:2" x14ac:dyDescent="0.25">
      <c r="A18" t="s">
        <v>19</v>
      </c>
      <c r="B18" s="3">
        <v>400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9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3" customWidth="1"/>
    <col min="2" max="2" width="11" customWidth="1"/>
    <col min="3" max="20" width="13" customWidth="1"/>
  </cols>
  <sheetData>
    <row r="1" spans="1:1" x14ac:dyDescent="0.25">
      <c r="A1" s="6" t="s">
        <v>20</v>
      </c>
    </row>
    <row r="2" spans="1:20" x14ac:dyDescent="0.25">
      <c r="A2" s="7" t="s">
        <v>21</v>
      </c>
      <c r="B2" s="7" t="s">
        <v>22</v>
      </c>
      <c r="C2" s="7" t="s">
        <v>23</v>
      </c>
      <c r="D2" s="7" t="s">
        <v>24</v>
      </c>
      <c r="E2" s="7" t="s">
        <v>25</v>
      </c>
      <c r="F2" s="7" t="s">
        <v>26</v>
      </c>
      <c r="G2" s="7" t="s">
        <v>27</v>
      </c>
      <c r="H2" s="7" t="s">
        <v>28</v>
      </c>
      <c r="I2" s="7" t="s">
        <v>29</v>
      </c>
      <c r="J2" s="7" t="s">
        <v>30</v>
      </c>
      <c r="K2" s="7" t="s">
        <v>31</v>
      </c>
      <c r="L2" s="7" t="s">
        <v>32</v>
      </c>
      <c r="M2" s="7" t="s">
        <v>33</v>
      </c>
      <c r="N2" s="7" t="s">
        <v>34</v>
      </c>
      <c r="O2" s="7" t="s">
        <v>35</v>
      </c>
      <c r="P2" s="7" t="s">
        <v>36</v>
      </c>
      <c r="Q2" s="7" t="s">
        <v>37</v>
      </c>
      <c r="R2" s="7" t="s">
        <v>38</v>
      </c>
      <c r="S2" s="7" t="s">
        <v>39</v>
      </c>
      <c r="T2" s="7" t="s">
        <v>40</v>
      </c>
    </row>
    <row r="3" spans="1:20" x14ac:dyDescent="0.25">
      <c r="A3">
        <v>0</v>
      </c>
      <c r="B3" t="s">
        <v>41</v>
      </c>
      <c r="C3" s="3">
        <v>0</v>
      </c>
      <c r="D3" s="3">
        <v>0</v>
      </c>
      <c r="E3" s="3">
        <v>0</v>
      </c>
      <c r="F3" s="3">
        <v>0</v>
      </c>
      <c r="G3" s="3">
        <f>Assumptions!$B$18</f>
        <v>400</v>
      </c>
      <c r="H3" s="3">
        <v>0</v>
      </c>
      <c r="I3" s="3">
        <v>0</v>
      </c>
      <c r="J3" s="3">
        <v>0</v>
      </c>
      <c r="K3" s="8">
        <f>SUM(G3:J3)</f>
        <v>400</v>
      </c>
      <c r="L3" s="4">
        <f>G3*Assumptions!$B$7+H3*Assumptions!$C$7+I3*Assumptions!$D$7+J3*Assumptions!$E$7</f>
        <v>1040000</v>
      </c>
      <c r="M3" s="4">
        <f>G3*Assumptions!$B$7*Assumptions!$B$8+H3*Assumptions!$C$7*Assumptions!$C$8+I3*Assumptions!$D$7*Assumptions!$D$8+J3*Assumptions!$E$7*Assumptions!$E$8</f>
        <v>228800</v>
      </c>
      <c r="N3" s="4">
        <f>C3*Assumptions!$B$5+D3*Assumptions!$C$5+E3*Assumptions!$D$5+F3*Assumptions!$E$5</f>
        <v>0</v>
      </c>
      <c r="O3" s="4">
        <f>M3-N3</f>
        <v>228800</v>
      </c>
      <c r="P3" s="4">
        <f>G3*Assumptions!$B$9+H3*Assumptions!$C$9+I3*Assumptions!$D$9+J3*Assumptions!$E$9</f>
        <v>68000000</v>
      </c>
      <c r="Q3" s="4">
        <f>P3*Assumptions!$B$14</f>
        <v>47600000</v>
      </c>
      <c r="R3" s="4">
        <f>P3*Assumptions!$B$15</f>
        <v>13600000</v>
      </c>
      <c r="S3" s="4">
        <f>P3*Assumptions!$B$16</f>
        <v>6800000</v>
      </c>
      <c r="T3" s="4">
        <f>(Q3*Assumptions!$C$14+R3*Assumptions!$C$15)/12</f>
        <v>280500</v>
      </c>
    </row>
    <row r="4" spans="1:20" x14ac:dyDescent="0.25">
      <c r="A4">
        <v>1</v>
      </c>
      <c r="B4" t="s">
        <v>42</v>
      </c>
      <c r="C4" s="3">
        <v>54</v>
      </c>
      <c r="D4" s="3">
        <v>0</v>
      </c>
      <c r="E4" s="3">
        <v>0</v>
      </c>
      <c r="F4" s="3">
        <v>0</v>
      </c>
      <c r="G4" s="3">
        <f>G3+C4-ROUND(G3*Assumptions!$B$6,0)</f>
        <v>452</v>
      </c>
      <c r="H4" s="3">
        <f>H3+D4-ROUND(H3*Assumptions!$C$6,0)</f>
        <v>0</v>
      </c>
      <c r="I4" s="3">
        <f>I3+E4-ROUND(I3*Assumptions!$D$6,0)</f>
        <v>0</v>
      </c>
      <c r="J4" s="3">
        <f>J3+F4-ROUND(J3*Assumptions!$E$6,0)</f>
        <v>0</v>
      </c>
      <c r="K4" s="8">
        <f>SUM(G4:J4)</f>
        <v>452</v>
      </c>
      <c r="L4" s="4">
        <f>G4*Assumptions!$B$7+H4*Assumptions!$C$7+I4*Assumptions!$D$7+J4*Assumptions!$E$7</f>
        <v>1175200</v>
      </c>
      <c r="M4" s="4">
        <f>G4*Assumptions!$B$7*Assumptions!$B$8+H4*Assumptions!$C$7*Assumptions!$C$8+I4*Assumptions!$D$7*Assumptions!$D$8+J4*Assumptions!$E$7*Assumptions!$E$8</f>
        <v>258544</v>
      </c>
      <c r="N4" s="4">
        <f>C4*Assumptions!$B$5+D4*Assumptions!$C$5+E4*Assumptions!$D$5+F4*Assumptions!$E$5</f>
        <v>18900</v>
      </c>
      <c r="O4" s="4">
        <f>M4-N4</f>
        <v>239644</v>
      </c>
      <c r="P4" s="4">
        <f>G4*Assumptions!$B$9+H4*Assumptions!$C$9+I4*Assumptions!$D$9+J4*Assumptions!$E$9</f>
        <v>76840000</v>
      </c>
      <c r="Q4" s="4">
        <f>P4*Assumptions!$B$14</f>
        <v>53788000</v>
      </c>
      <c r="R4" s="4">
        <f>P4*Assumptions!$B$15</f>
        <v>15368000</v>
      </c>
      <c r="S4" s="4">
        <f>P4*Assumptions!$B$16</f>
        <v>7684000</v>
      </c>
      <c r="T4" s="4">
        <f>(Q4*Assumptions!$C$14+R4*Assumptions!$C$15)/12</f>
        <v>316965</v>
      </c>
    </row>
    <row r="5" spans="1:20" x14ac:dyDescent="0.25">
      <c r="A5">
        <v>2</v>
      </c>
      <c r="B5" t="s">
        <v>43</v>
      </c>
      <c r="C5" s="3">
        <v>51</v>
      </c>
      <c r="D5" s="3">
        <v>0</v>
      </c>
      <c r="E5" s="3">
        <v>0</v>
      </c>
      <c r="F5" s="3">
        <v>0</v>
      </c>
      <c r="G5" s="3">
        <f>G4+C5-ROUND(G4*Assumptions!$B$6,0)</f>
        <v>501</v>
      </c>
      <c r="H5" s="3">
        <f>H4+D5-ROUND(H4*Assumptions!$C$6,0)</f>
        <v>0</v>
      </c>
      <c r="I5" s="3">
        <f>I4+E5-ROUND(I4*Assumptions!$D$6,0)</f>
        <v>0</v>
      </c>
      <c r="J5" s="3">
        <f>J4+F5-ROUND(J4*Assumptions!$E$6,0)</f>
        <v>0</v>
      </c>
      <c r="K5" s="8">
        <f>SUM(G5:J5)</f>
        <v>501</v>
      </c>
      <c r="L5" s="4">
        <f>G5*Assumptions!$B$7+H5*Assumptions!$C$7+I5*Assumptions!$D$7+J5*Assumptions!$E$7</f>
        <v>1302600</v>
      </c>
      <c r="M5" s="4">
        <f>G5*Assumptions!$B$7*Assumptions!$B$8+H5*Assumptions!$C$7*Assumptions!$C$8+I5*Assumptions!$D$7*Assumptions!$D$8+J5*Assumptions!$E$7*Assumptions!$E$8</f>
        <v>286572</v>
      </c>
      <c r="N5" s="4">
        <f>C5*Assumptions!$B$5+D5*Assumptions!$C$5+E5*Assumptions!$D$5+F5*Assumptions!$E$5</f>
        <v>17850</v>
      </c>
      <c r="O5" s="4">
        <f>M5-N5</f>
        <v>268722</v>
      </c>
      <c r="P5" s="4">
        <f>G5*Assumptions!$B$9+H5*Assumptions!$C$9+I5*Assumptions!$D$9+J5*Assumptions!$E$9</f>
        <v>85170000</v>
      </c>
      <c r="Q5" s="4">
        <f>P5*Assumptions!$B$14</f>
        <v>59618999.99999999</v>
      </c>
      <c r="R5" s="4">
        <f>P5*Assumptions!$B$15</f>
        <v>17034000</v>
      </c>
      <c r="S5" s="4">
        <f>P5*Assumptions!$B$16</f>
        <v>8517000</v>
      </c>
      <c r="T5" s="4">
        <f>(Q5*Assumptions!$C$14+R5*Assumptions!$C$15)/12</f>
        <v>351326.25</v>
      </c>
    </row>
    <row r="6" spans="1:20" x14ac:dyDescent="0.25">
      <c r="A6">
        <v>3</v>
      </c>
      <c r="B6" t="s">
        <v>44</v>
      </c>
      <c r="C6" s="3">
        <v>48</v>
      </c>
      <c r="D6" s="3">
        <v>8</v>
      </c>
      <c r="E6" s="3">
        <v>0</v>
      </c>
      <c r="F6" s="3">
        <v>0</v>
      </c>
      <c r="G6" s="3">
        <f>G5+C6-ROUND(G5*Assumptions!$B$6,0)</f>
        <v>546</v>
      </c>
      <c r="H6" s="3">
        <f>H5+D6-ROUND(H5*Assumptions!$C$6,0)</f>
        <v>8</v>
      </c>
      <c r="I6" s="3">
        <f>I5+E6-ROUND(I5*Assumptions!$D$6,0)</f>
        <v>0</v>
      </c>
      <c r="J6" s="3">
        <f>J5+F6-ROUND(J5*Assumptions!$E$6,0)</f>
        <v>0</v>
      </c>
      <c r="K6" s="8">
        <f>SUM(G6:J6)</f>
        <v>554</v>
      </c>
      <c r="L6" s="4">
        <f>G6*Assumptions!$B$7+H6*Assumptions!$C$7+I6*Assumptions!$D$7+J6*Assumptions!$E$7</f>
        <v>1440400</v>
      </c>
      <c r="M6" s="4">
        <f>G6*Assumptions!$B$7*Assumptions!$B$8+H6*Assumptions!$C$7*Assumptions!$C$8+I6*Assumptions!$D$7*Assumptions!$D$8+J6*Assumptions!$E$7*Assumptions!$E$8</f>
        <v>316888</v>
      </c>
      <c r="N6" s="4">
        <f>C6*Assumptions!$B$5+D6*Assumptions!$C$5+E6*Assumptions!$D$5+F6*Assumptions!$E$5</f>
        <v>21600</v>
      </c>
      <c r="O6" s="4">
        <f>M6-N6</f>
        <v>295288</v>
      </c>
      <c r="P6" s="4">
        <f>G6*Assumptions!$B$9+H6*Assumptions!$C$9+I6*Assumptions!$D$9+J6*Assumptions!$E$9</f>
        <v>94180000</v>
      </c>
      <c r="Q6" s="4">
        <f>P6*Assumptions!$B$14</f>
        <v>65925999.99999999</v>
      </c>
      <c r="R6" s="4">
        <f>P6*Assumptions!$B$15</f>
        <v>18836000</v>
      </c>
      <c r="S6" s="4">
        <f>P6*Assumptions!$B$16</f>
        <v>9418000</v>
      </c>
      <c r="T6" s="4">
        <f>(Q6*Assumptions!$C$14+R6*Assumptions!$C$15)/12</f>
        <v>388492.5</v>
      </c>
    </row>
    <row r="7" spans="1:20" x14ac:dyDescent="0.25">
      <c r="A7">
        <v>4</v>
      </c>
      <c r="B7" t="s">
        <v>45</v>
      </c>
      <c r="C7" s="3">
        <v>45</v>
      </c>
      <c r="D7" s="3">
        <v>8</v>
      </c>
      <c r="E7" s="3">
        <v>2</v>
      </c>
      <c r="F7" s="3">
        <v>0</v>
      </c>
      <c r="G7" s="3">
        <f>G6+C7-ROUND(G6*Assumptions!$B$6,0)</f>
        <v>588</v>
      </c>
      <c r="H7" s="3">
        <f>H6+D7-ROUND(H6*Assumptions!$C$6,0)</f>
        <v>16</v>
      </c>
      <c r="I7" s="3">
        <f>I6+E7-ROUND(I6*Assumptions!$D$6,0)</f>
        <v>2</v>
      </c>
      <c r="J7" s="3">
        <f>J6+F7-ROUND(J6*Assumptions!$E$6,0)</f>
        <v>0</v>
      </c>
      <c r="K7" s="8">
        <f>SUM(G7:J7)</f>
        <v>606</v>
      </c>
      <c r="L7" s="4">
        <f>G7*Assumptions!$B$7+H7*Assumptions!$C$7+I7*Assumptions!$D$7+J7*Assumptions!$E$7</f>
        <v>1575200</v>
      </c>
      <c r="M7" s="4">
        <f>G7*Assumptions!$B$7*Assumptions!$B$8+H7*Assumptions!$C$7*Assumptions!$C$8+I7*Assumptions!$D$7*Assumptions!$D$8+J7*Assumptions!$E$7*Assumptions!$E$8</f>
        <v>346448</v>
      </c>
      <c r="N7" s="4">
        <f>C7*Assumptions!$B$5+D7*Assumptions!$C$5+E7*Assumptions!$D$5+F7*Assumptions!$E$5</f>
        <v>21050</v>
      </c>
      <c r="O7" s="4">
        <f>M7-N7</f>
        <v>325398</v>
      </c>
      <c r="P7" s="4">
        <f>G7*Assumptions!$B$9+H7*Assumptions!$C$9+I7*Assumptions!$D$9+J7*Assumptions!$E$9</f>
        <v>102980000</v>
      </c>
      <c r="Q7" s="4">
        <f>P7*Assumptions!$B$14</f>
        <v>72086000</v>
      </c>
      <c r="R7" s="4">
        <f>P7*Assumptions!$B$15</f>
        <v>20596000</v>
      </c>
      <c r="S7" s="4">
        <f>P7*Assumptions!$B$16</f>
        <v>10298000</v>
      </c>
      <c r="T7" s="4">
        <f>(Q7*Assumptions!$C$14+R7*Assumptions!$C$15)/12</f>
        <v>424792.5</v>
      </c>
    </row>
    <row r="8" spans="1:20" x14ac:dyDescent="0.25">
      <c r="A8">
        <v>5</v>
      </c>
      <c r="B8" t="s">
        <v>46</v>
      </c>
      <c r="C8" s="3">
        <v>43</v>
      </c>
      <c r="D8" s="3">
        <v>8</v>
      </c>
      <c r="E8" s="3">
        <v>3</v>
      </c>
      <c r="F8" s="3">
        <v>0</v>
      </c>
      <c r="G8" s="3">
        <f>G7+C8-ROUND(G7*Assumptions!$B$6,0)</f>
        <v>628</v>
      </c>
      <c r="H8" s="3">
        <f>H7+D8-ROUND(H7*Assumptions!$C$6,0)</f>
        <v>24</v>
      </c>
      <c r="I8" s="3">
        <f>I7+E8-ROUND(I7*Assumptions!$D$6,0)</f>
        <v>5</v>
      </c>
      <c r="J8" s="3">
        <f>J7+F8-ROUND(J7*Assumptions!$E$6,0)</f>
        <v>0</v>
      </c>
      <c r="K8" s="8">
        <f>SUM(G8:J8)</f>
        <v>657</v>
      </c>
      <c r="L8" s="4">
        <f>G8*Assumptions!$B$7+H8*Assumptions!$C$7+I8*Assumptions!$D$7+J8*Assumptions!$E$7</f>
        <v>1707200</v>
      </c>
      <c r="M8" s="4">
        <f>G8*Assumptions!$B$7*Assumptions!$B$8+H8*Assumptions!$C$7*Assumptions!$C$8+I8*Assumptions!$D$7*Assumptions!$D$8+J8*Assumptions!$E$7*Assumptions!$E$8</f>
        <v>375344</v>
      </c>
      <c r="N8" s="4">
        <f>C8*Assumptions!$B$5+D8*Assumptions!$C$5+E8*Assumptions!$D$5+F8*Assumptions!$E$5</f>
        <v>20600</v>
      </c>
      <c r="O8" s="4">
        <f>M8-N8</f>
        <v>354744</v>
      </c>
      <c r="P8" s="4">
        <f>G8*Assumptions!$B$9+H8*Assumptions!$C$9+I8*Assumptions!$D$9+J8*Assumptions!$E$9</f>
        <v>111590000</v>
      </c>
      <c r="Q8" s="4">
        <f>P8*Assumptions!$B$14</f>
        <v>78113000</v>
      </c>
      <c r="R8" s="4">
        <f>P8*Assumptions!$B$15</f>
        <v>22318000</v>
      </c>
      <c r="S8" s="4">
        <f>P8*Assumptions!$B$16</f>
        <v>11159000</v>
      </c>
      <c r="T8" s="4">
        <f>(Q8*Assumptions!$C$14+R8*Assumptions!$C$15)/12</f>
        <v>460308.75</v>
      </c>
    </row>
    <row r="9" spans="1:20" x14ac:dyDescent="0.25">
      <c r="A9">
        <v>6</v>
      </c>
      <c r="B9" t="s">
        <v>47</v>
      </c>
      <c r="C9" s="3">
        <v>40</v>
      </c>
      <c r="D9" s="3">
        <v>8</v>
      </c>
      <c r="E9" s="3">
        <v>4</v>
      </c>
      <c r="F9" s="3">
        <v>0</v>
      </c>
      <c r="G9" s="3">
        <f>G8+C9-ROUND(G8*Assumptions!$B$6,0)</f>
        <v>665</v>
      </c>
      <c r="H9" s="3">
        <f>H8+D9-ROUND(H8*Assumptions!$C$6,0)</f>
        <v>32</v>
      </c>
      <c r="I9" s="3">
        <f>I8+E9-ROUND(I8*Assumptions!$D$6,0)</f>
        <v>9</v>
      </c>
      <c r="J9" s="3">
        <f>J8+F9-ROUND(J8*Assumptions!$E$6,0)</f>
        <v>0</v>
      </c>
      <c r="K9" s="8">
        <f>SUM(G9:J9)</f>
        <v>706</v>
      </c>
      <c r="L9" s="4">
        <f>G9*Assumptions!$B$7+H9*Assumptions!$C$7+I9*Assumptions!$D$7+J9*Assumptions!$E$7</f>
        <v>1833800</v>
      </c>
      <c r="M9" s="4">
        <f>G9*Assumptions!$B$7*Assumptions!$B$8+H9*Assumptions!$C$7*Assumptions!$C$8+I9*Assumptions!$D$7*Assumptions!$D$8+J9*Assumptions!$E$7*Assumptions!$E$8</f>
        <v>403004</v>
      </c>
      <c r="N9" s="4">
        <f>C9*Assumptions!$B$5+D9*Assumptions!$C$5+E9*Assumptions!$D$5+F9*Assumptions!$E$5</f>
        <v>19800</v>
      </c>
      <c r="O9" s="4">
        <f>M9-N9</f>
        <v>383204</v>
      </c>
      <c r="P9" s="4">
        <f>G9*Assumptions!$B$9+H9*Assumptions!$C$9+I9*Assumptions!$D$9+J9*Assumptions!$E$9</f>
        <v>119840000</v>
      </c>
      <c r="Q9" s="4">
        <f>P9*Assumptions!$B$14</f>
        <v>83888000</v>
      </c>
      <c r="R9" s="4">
        <f>P9*Assumptions!$B$15</f>
        <v>23968000</v>
      </c>
      <c r="S9" s="4">
        <f>P9*Assumptions!$B$16</f>
        <v>11984000</v>
      </c>
      <c r="T9" s="4">
        <f>(Q9*Assumptions!$C$14+R9*Assumptions!$C$15)/12</f>
        <v>494340</v>
      </c>
    </row>
    <row r="10" spans="1:20" x14ac:dyDescent="0.25">
      <c r="A10">
        <v>7</v>
      </c>
      <c r="B10" t="s">
        <v>48</v>
      </c>
      <c r="C10" s="3">
        <v>37</v>
      </c>
      <c r="D10" s="3">
        <v>8</v>
      </c>
      <c r="E10" s="3">
        <v>5</v>
      </c>
      <c r="F10" s="3">
        <v>2</v>
      </c>
      <c r="G10" s="3">
        <f>G9+C10-ROUND(G9*Assumptions!$B$6,0)</f>
        <v>699</v>
      </c>
      <c r="H10" s="3">
        <f>H9+D10-ROUND(H9*Assumptions!$C$6,0)</f>
        <v>40</v>
      </c>
      <c r="I10" s="3">
        <f>I9+E10-ROUND(I9*Assumptions!$D$6,0)</f>
        <v>14</v>
      </c>
      <c r="J10" s="3">
        <f>J9+F10-ROUND(J9*Assumptions!$E$6,0)</f>
        <v>2</v>
      </c>
      <c r="K10" s="8">
        <f>SUM(G10:J10)</f>
        <v>755</v>
      </c>
      <c r="L10" s="4">
        <f>G10*Assumptions!$B$7+H10*Assumptions!$C$7+I10*Assumptions!$D$7+J10*Assumptions!$E$7</f>
        <v>1960800</v>
      </c>
      <c r="M10" s="4">
        <f>G10*Assumptions!$B$7*Assumptions!$B$8+H10*Assumptions!$C$7*Assumptions!$C$8+I10*Assumptions!$D$7*Assumptions!$D$8+J10*Assumptions!$E$7*Assumptions!$E$8</f>
        <v>430472</v>
      </c>
      <c r="N10" s="4">
        <f>C10*Assumptions!$B$5+D10*Assumptions!$C$5+E10*Assumptions!$D$5+F10*Assumptions!$E$5</f>
        <v>22000</v>
      </c>
      <c r="O10" s="4">
        <f>M10-N10</f>
        <v>408472</v>
      </c>
      <c r="P10" s="4">
        <f>G10*Assumptions!$B$9+H10*Assumptions!$C$9+I10*Assumptions!$D$9+J10*Assumptions!$E$9</f>
        <v>128130000</v>
      </c>
      <c r="Q10" s="4">
        <f>P10*Assumptions!$B$14</f>
        <v>89691000</v>
      </c>
      <c r="R10" s="4">
        <f>P10*Assumptions!$B$15</f>
        <v>25626000</v>
      </c>
      <c r="S10" s="4">
        <f>P10*Assumptions!$B$16</f>
        <v>12813000</v>
      </c>
      <c r="T10" s="4">
        <f>(Q10*Assumptions!$C$14+R10*Assumptions!$C$15)/12</f>
        <v>528536.25</v>
      </c>
    </row>
    <row r="11" spans="1:20" x14ac:dyDescent="0.25">
      <c r="A11">
        <v>8</v>
      </c>
      <c r="B11" t="s">
        <v>49</v>
      </c>
      <c r="C11" s="3">
        <v>34</v>
      </c>
      <c r="D11" s="3">
        <v>8</v>
      </c>
      <c r="E11" s="3">
        <v>6</v>
      </c>
      <c r="F11" s="3">
        <v>2</v>
      </c>
      <c r="G11" s="3">
        <f>G10+C11-ROUND(G10*Assumptions!$B$6,0)</f>
        <v>730</v>
      </c>
      <c r="H11" s="3">
        <f>H10+D11-ROUND(H10*Assumptions!$C$6,0)</f>
        <v>48</v>
      </c>
      <c r="I11" s="3">
        <f>I10+E11-ROUND(I10*Assumptions!$D$6,0)</f>
        <v>20</v>
      </c>
      <c r="J11" s="3">
        <f>J10+F11-ROUND(J10*Assumptions!$E$6,0)</f>
        <v>4</v>
      </c>
      <c r="K11" s="8">
        <f>SUM(G11:J11)</f>
        <v>802</v>
      </c>
      <c r="L11" s="4">
        <f>G11*Assumptions!$B$7+H11*Assumptions!$C$7+I11*Assumptions!$D$7+J11*Assumptions!$E$7</f>
        <v>2082400</v>
      </c>
      <c r="M11" s="4">
        <f>G11*Assumptions!$B$7*Assumptions!$B$8+H11*Assumptions!$C$7*Assumptions!$C$8+I11*Assumptions!$D$7*Assumptions!$D$8+J11*Assumptions!$E$7*Assumptions!$E$8</f>
        <v>456704</v>
      </c>
      <c r="N11" s="4">
        <f>C11*Assumptions!$B$5+D11*Assumptions!$C$5+E11*Assumptions!$D$5+F11*Assumptions!$E$5</f>
        <v>21200</v>
      </c>
      <c r="O11" s="4">
        <f>M11-N11</f>
        <v>435504</v>
      </c>
      <c r="P11" s="4">
        <f>G11*Assumptions!$B$9+H11*Assumptions!$C$9+I11*Assumptions!$D$9+J11*Assumptions!$E$9</f>
        <v>136060000</v>
      </c>
      <c r="Q11" s="4">
        <f>P11*Assumptions!$B$14</f>
        <v>95242000</v>
      </c>
      <c r="R11" s="4">
        <f>P11*Assumptions!$B$15</f>
        <v>27212000</v>
      </c>
      <c r="S11" s="4">
        <f>P11*Assumptions!$B$16</f>
        <v>13606000</v>
      </c>
      <c r="T11" s="4">
        <f>(Q11*Assumptions!$C$14+R11*Assumptions!$C$15)/12</f>
        <v>561247.5</v>
      </c>
    </row>
    <row r="12" spans="1:20" x14ac:dyDescent="0.25">
      <c r="A12">
        <v>9</v>
      </c>
      <c r="B12" t="s">
        <v>50</v>
      </c>
      <c r="C12" s="3">
        <v>32</v>
      </c>
      <c r="D12" s="3">
        <v>8</v>
      </c>
      <c r="E12" s="3">
        <v>7</v>
      </c>
      <c r="F12" s="3">
        <v>2</v>
      </c>
      <c r="G12" s="3">
        <f>G11+C12-ROUND(G11*Assumptions!$B$6,0)</f>
        <v>758</v>
      </c>
      <c r="H12" s="3">
        <f>H11+D12-ROUND(H11*Assumptions!$C$6,0)</f>
        <v>56</v>
      </c>
      <c r="I12" s="3">
        <f>I11+E12-ROUND(I11*Assumptions!$D$6,0)</f>
        <v>27</v>
      </c>
      <c r="J12" s="3">
        <f>J11+F12-ROUND(J11*Assumptions!$E$6,0)</f>
        <v>6</v>
      </c>
      <c r="K12" s="8">
        <f>SUM(G12:J12)</f>
        <v>847</v>
      </c>
      <c r="L12" s="4">
        <f>G12*Assumptions!$B$7+H12*Assumptions!$C$7+I12*Assumptions!$D$7+J12*Assumptions!$E$7</f>
        <v>2198600</v>
      </c>
      <c r="M12" s="4">
        <f>G12*Assumptions!$B$7*Assumptions!$B$8+H12*Assumptions!$C$7*Assumptions!$C$8+I12*Assumptions!$D$7*Assumptions!$D$8+J12*Assumptions!$E$7*Assumptions!$E$8</f>
        <v>481700</v>
      </c>
      <c r="N12" s="4">
        <f>C12*Assumptions!$B$5+D12*Assumptions!$C$5+E12*Assumptions!$D$5+F12*Assumptions!$E$5</f>
        <v>20750</v>
      </c>
      <c r="O12" s="4">
        <f>M12-N12</f>
        <v>460950</v>
      </c>
      <c r="P12" s="4">
        <f>G12*Assumptions!$B$9+H12*Assumptions!$C$9+I12*Assumptions!$D$9+J12*Assumptions!$E$9</f>
        <v>143630000</v>
      </c>
      <c r="Q12" s="4">
        <f>P12*Assumptions!$B$14</f>
        <v>100541000</v>
      </c>
      <c r="R12" s="4">
        <f>P12*Assumptions!$B$15</f>
        <v>28726000</v>
      </c>
      <c r="S12" s="4">
        <f>P12*Assumptions!$B$16</f>
        <v>14363000</v>
      </c>
      <c r="T12" s="4">
        <f>(Q12*Assumptions!$C$14+R12*Assumptions!$C$15)/12</f>
        <v>592473.75</v>
      </c>
    </row>
    <row r="13" spans="1:20" x14ac:dyDescent="0.25">
      <c r="A13">
        <v>10</v>
      </c>
      <c r="B13" t="s">
        <v>51</v>
      </c>
      <c r="C13" s="3">
        <v>29</v>
      </c>
      <c r="D13" s="3">
        <v>8</v>
      </c>
      <c r="E13" s="3">
        <v>8</v>
      </c>
      <c r="F13" s="3">
        <v>3</v>
      </c>
      <c r="G13" s="3">
        <f>G12+C13-ROUND(G12*Assumptions!$B$6,0)</f>
        <v>783</v>
      </c>
      <c r="H13" s="3">
        <f>H12+D13-ROUND(H12*Assumptions!$C$6,0)</f>
        <v>64</v>
      </c>
      <c r="I13" s="3">
        <f>I12+E13-ROUND(I12*Assumptions!$D$6,0)</f>
        <v>35</v>
      </c>
      <c r="J13" s="3">
        <f>J12+F13-ROUND(J12*Assumptions!$E$6,0)</f>
        <v>9</v>
      </c>
      <c r="K13" s="8">
        <f>SUM(G13:J13)</f>
        <v>891</v>
      </c>
      <c r="L13" s="4">
        <f>G13*Assumptions!$B$7+H13*Assumptions!$C$7+I13*Assumptions!$D$7+J13*Assumptions!$E$7</f>
        <v>2312300</v>
      </c>
      <c r="M13" s="4">
        <f>G13*Assumptions!$B$7*Assumptions!$B$8+H13*Assumptions!$C$7*Assumptions!$C$8+I13*Assumptions!$D$7*Assumptions!$D$8+J13*Assumptions!$E$7*Assumptions!$E$8</f>
        <v>505982</v>
      </c>
      <c r="N13" s="4">
        <f>C13*Assumptions!$B$5+D13*Assumptions!$C$5+E13*Assumptions!$D$5+F13*Assumptions!$E$5</f>
        <v>21450</v>
      </c>
      <c r="O13" s="4">
        <f>M13-N13</f>
        <v>484532</v>
      </c>
      <c r="P13" s="4">
        <f>G13*Assumptions!$B$9+H13*Assumptions!$C$9+I13*Assumptions!$D$9+J13*Assumptions!$E$9</f>
        <v>151040000</v>
      </c>
      <c r="Q13" s="4">
        <f>P13*Assumptions!$B$14</f>
        <v>105728000</v>
      </c>
      <c r="R13" s="4">
        <f>P13*Assumptions!$B$15</f>
        <v>30208000</v>
      </c>
      <c r="S13" s="4">
        <f>P13*Assumptions!$B$16</f>
        <v>15104000</v>
      </c>
      <c r="T13" s="4">
        <f>(Q13*Assumptions!$C$14+R13*Assumptions!$C$15)/12</f>
        <v>623040</v>
      </c>
    </row>
    <row r="14" spans="1:20" x14ac:dyDescent="0.25">
      <c r="A14">
        <v>11</v>
      </c>
      <c r="B14" t="s">
        <v>52</v>
      </c>
      <c r="C14" s="3">
        <v>26</v>
      </c>
      <c r="D14" s="3">
        <v>8</v>
      </c>
      <c r="E14" s="3">
        <v>9</v>
      </c>
      <c r="F14" s="3">
        <v>3</v>
      </c>
      <c r="G14" s="3">
        <f>G13+C14-ROUND(G13*Assumptions!$B$6,0)</f>
        <v>805</v>
      </c>
      <c r="H14" s="3">
        <f>H13+D14-ROUND(H13*Assumptions!$C$6,0)</f>
        <v>71</v>
      </c>
      <c r="I14" s="3">
        <f>I13+E14-ROUND(I13*Assumptions!$D$6,0)</f>
        <v>44</v>
      </c>
      <c r="J14" s="3">
        <f>J13+F14-ROUND(J13*Assumptions!$E$6,0)</f>
        <v>12</v>
      </c>
      <c r="K14" s="8">
        <f>SUM(G14:J14)</f>
        <v>932</v>
      </c>
      <c r="L14" s="4">
        <f>G14*Assumptions!$B$7+H14*Assumptions!$C$7+I14*Assumptions!$D$7+J14*Assumptions!$E$7</f>
        <v>2418000</v>
      </c>
      <c r="M14" s="4">
        <f>G14*Assumptions!$B$7*Assumptions!$B$8+H14*Assumptions!$C$7*Assumptions!$C$8+I14*Assumptions!$D$7*Assumptions!$D$8+J14*Assumptions!$E$7*Assumptions!$E$8</f>
        <v>528456</v>
      </c>
      <c r="N14" s="4">
        <f>C14*Assumptions!$B$5+D14*Assumptions!$C$5+E14*Assumptions!$D$5+F14*Assumptions!$E$5</f>
        <v>20650</v>
      </c>
      <c r="O14" s="4">
        <f>M14-N14</f>
        <v>507806</v>
      </c>
      <c r="P14" s="4">
        <f>G14*Assumptions!$B$9+H14*Assumptions!$C$9+I14*Assumptions!$D$9+J14*Assumptions!$E$9</f>
        <v>157920000</v>
      </c>
      <c r="Q14" s="4">
        <f>P14*Assumptions!$B$14</f>
        <v>110544000</v>
      </c>
      <c r="R14" s="4">
        <f>P14*Assumptions!$B$15</f>
        <v>31584000</v>
      </c>
      <c r="S14" s="4">
        <f>P14*Assumptions!$B$16</f>
        <v>15792000</v>
      </c>
      <c r="T14" s="4">
        <f>(Q14*Assumptions!$C$14+R14*Assumptions!$C$15)/12</f>
        <v>651420</v>
      </c>
    </row>
    <row r="15" spans="1:20" x14ac:dyDescent="0.25">
      <c r="A15">
        <v>12</v>
      </c>
      <c r="B15" t="s">
        <v>53</v>
      </c>
      <c r="C15" s="3">
        <v>23</v>
      </c>
      <c r="D15" s="3">
        <v>8</v>
      </c>
      <c r="E15" s="3">
        <v>10</v>
      </c>
      <c r="F15" s="3">
        <v>3</v>
      </c>
      <c r="G15" s="3">
        <f>G14+C15-ROUND(G14*Assumptions!$B$6,0)</f>
        <v>824</v>
      </c>
      <c r="H15" s="3">
        <f>H14+D15-ROUND(H14*Assumptions!$C$6,0)</f>
        <v>78</v>
      </c>
      <c r="I15" s="3">
        <f>I14+E15-ROUND(I14*Assumptions!$D$6,0)</f>
        <v>54</v>
      </c>
      <c r="J15" s="3">
        <f>J14+F15-ROUND(J14*Assumptions!$E$6,0)</f>
        <v>15</v>
      </c>
      <c r="K15" s="8">
        <f>SUM(G15:J15)</f>
        <v>971</v>
      </c>
      <c r="L15" s="4">
        <f>G15*Assumptions!$B$7+H15*Assumptions!$C$7+I15*Assumptions!$D$7+J15*Assumptions!$E$7</f>
        <v>2518300</v>
      </c>
      <c r="M15" s="4">
        <f>G15*Assumptions!$B$7*Assumptions!$B$8+H15*Assumptions!$C$7*Assumptions!$C$8+I15*Assumptions!$D$7*Assumptions!$D$8+J15*Assumptions!$E$7*Assumptions!$E$8</f>
        <v>549694</v>
      </c>
      <c r="N15" s="4">
        <f>C15*Assumptions!$B$5+D15*Assumptions!$C$5+E15*Assumptions!$D$5+F15*Assumptions!$E$5</f>
        <v>19850</v>
      </c>
      <c r="O15" s="4">
        <f>M15-N15</f>
        <v>529844</v>
      </c>
      <c r="P15" s="4">
        <f>G15*Assumptions!$B$9+H15*Assumptions!$C$9+I15*Assumptions!$D$9+J15*Assumptions!$E$9</f>
        <v>164440000</v>
      </c>
      <c r="Q15" s="4">
        <f>P15*Assumptions!$B$14</f>
        <v>115108000</v>
      </c>
      <c r="R15" s="4">
        <f>P15*Assumptions!$B$15</f>
        <v>32888000</v>
      </c>
      <c r="S15" s="4">
        <f>P15*Assumptions!$B$16</f>
        <v>16444000</v>
      </c>
      <c r="T15" s="4">
        <f>(Q15*Assumptions!$C$14+R15*Assumptions!$C$15)/12</f>
        <v>678315</v>
      </c>
    </row>
    <row r="16" spans="1:20" x14ac:dyDescent="0.25">
      <c r="A16">
        <v>13</v>
      </c>
      <c r="B16" t="s">
        <v>54</v>
      </c>
      <c r="C16" s="3">
        <v>21</v>
      </c>
      <c r="D16" s="3">
        <v>8</v>
      </c>
      <c r="E16" s="3">
        <v>11</v>
      </c>
      <c r="F16" s="3">
        <v>4</v>
      </c>
      <c r="G16" s="3">
        <f>G15+C16-ROUND(G15*Assumptions!$B$6,0)</f>
        <v>841</v>
      </c>
      <c r="H16" s="3">
        <f>H15+D16-ROUND(H15*Assumptions!$C$6,0)</f>
        <v>85</v>
      </c>
      <c r="I16" s="3">
        <f>I15+E16-ROUND(I15*Assumptions!$D$6,0)</f>
        <v>64</v>
      </c>
      <c r="J16" s="3">
        <f>J15+F16-ROUND(J15*Assumptions!$E$6,0)</f>
        <v>19</v>
      </c>
      <c r="K16" s="8">
        <f>SUM(G16:J16)</f>
        <v>1009</v>
      </c>
      <c r="L16" s="4">
        <f>G16*Assumptions!$B$7+H16*Assumptions!$C$7+I16*Assumptions!$D$7+J16*Assumptions!$E$7</f>
        <v>2616300</v>
      </c>
      <c r="M16" s="4">
        <f>G16*Assumptions!$B$7*Assumptions!$B$8+H16*Assumptions!$C$7*Assumptions!$C$8+I16*Assumptions!$D$7*Assumptions!$D$8+J16*Assumptions!$E$7*Assumptions!$E$8</f>
        <v>570310</v>
      </c>
      <c r="N16" s="4">
        <f>C16*Assumptions!$B$5+D16*Assumptions!$C$5+E16*Assumptions!$D$5+F16*Assumptions!$E$5</f>
        <v>20900</v>
      </c>
      <c r="O16" s="4">
        <f>M16-N16</f>
        <v>549410</v>
      </c>
      <c r="P16" s="4">
        <f>G16*Assumptions!$B$9+H16*Assumptions!$C$9+I16*Assumptions!$D$9+J16*Assumptions!$E$9</f>
        <v>170820000</v>
      </c>
      <c r="Q16" s="4">
        <f>P16*Assumptions!$B$14</f>
        <v>119573999.99999999</v>
      </c>
      <c r="R16" s="4">
        <f>P16*Assumptions!$B$15</f>
        <v>34164000</v>
      </c>
      <c r="S16" s="4">
        <f>P16*Assumptions!$B$16</f>
        <v>17082000</v>
      </c>
      <c r="T16" s="4">
        <f>(Q16*Assumptions!$C$14+R16*Assumptions!$C$15)/12</f>
        <v>704632.5</v>
      </c>
    </row>
    <row r="17" spans="1:20" x14ac:dyDescent="0.25">
      <c r="A17">
        <v>14</v>
      </c>
      <c r="B17" t="s">
        <v>55</v>
      </c>
      <c r="C17" s="3">
        <v>18</v>
      </c>
      <c r="D17" s="3">
        <v>8</v>
      </c>
      <c r="E17" s="3">
        <v>12</v>
      </c>
      <c r="F17" s="3">
        <v>4</v>
      </c>
      <c r="G17" s="3">
        <f>G16+C17-ROUND(G16*Assumptions!$B$6,0)</f>
        <v>855</v>
      </c>
      <c r="H17" s="3">
        <f>H16+D17-ROUND(H16*Assumptions!$C$6,0)</f>
        <v>92</v>
      </c>
      <c r="I17" s="3">
        <f>I16+E17-ROUND(I16*Assumptions!$D$6,0)</f>
        <v>75</v>
      </c>
      <c r="J17" s="3">
        <f>J16+F17-ROUND(J16*Assumptions!$E$6,0)</f>
        <v>23</v>
      </c>
      <c r="K17" s="8">
        <f>SUM(G17:J17)</f>
        <v>1045</v>
      </c>
      <c r="L17" s="4">
        <f>G17*Assumptions!$B$7+H17*Assumptions!$C$7+I17*Assumptions!$D$7+J17*Assumptions!$E$7</f>
        <v>2708900</v>
      </c>
      <c r="M17" s="4">
        <f>G17*Assumptions!$B$7*Assumptions!$B$8+H17*Assumptions!$C$7*Assumptions!$C$8+I17*Assumptions!$D$7*Assumptions!$D$8+J17*Assumptions!$E$7*Assumptions!$E$8</f>
        <v>589690</v>
      </c>
      <c r="N17" s="4">
        <f>C17*Assumptions!$B$5+D17*Assumptions!$C$5+E17*Assumptions!$D$5+F17*Assumptions!$E$5</f>
        <v>20100</v>
      </c>
      <c r="O17" s="4">
        <f>M17-N17</f>
        <v>569590</v>
      </c>
      <c r="P17" s="4">
        <f>G17*Assumptions!$B$9+H17*Assumptions!$C$9+I17*Assumptions!$D$9+J17*Assumptions!$E$9</f>
        <v>176840000</v>
      </c>
      <c r="Q17" s="4">
        <f>P17*Assumptions!$B$14</f>
        <v>123787999.99999999</v>
      </c>
      <c r="R17" s="4">
        <f>P17*Assumptions!$B$15</f>
        <v>35368000</v>
      </c>
      <c r="S17" s="4">
        <f>P17*Assumptions!$B$16</f>
        <v>17684000</v>
      </c>
      <c r="T17" s="4">
        <f>(Q17*Assumptions!$C$14+R17*Assumptions!$C$15)/12</f>
        <v>729465</v>
      </c>
    </row>
    <row r="18" spans="1:20" x14ac:dyDescent="0.25">
      <c r="A18">
        <v>15</v>
      </c>
      <c r="B18" t="s">
        <v>56</v>
      </c>
      <c r="C18" s="3">
        <v>15</v>
      </c>
      <c r="D18" s="3">
        <v>8</v>
      </c>
      <c r="E18" s="3">
        <v>13</v>
      </c>
      <c r="F18" s="3">
        <v>4</v>
      </c>
      <c r="G18" s="3">
        <f>G17+C18-ROUND(G17*Assumptions!$B$6,0)</f>
        <v>866</v>
      </c>
      <c r="H18" s="3">
        <f>H17+D18-ROUND(H17*Assumptions!$C$6,0)</f>
        <v>99</v>
      </c>
      <c r="I18" s="3">
        <f>I17+E18-ROUND(I17*Assumptions!$D$6,0)</f>
        <v>87</v>
      </c>
      <c r="J18" s="3">
        <f>J17+F18-ROUND(J17*Assumptions!$E$6,0)</f>
        <v>26</v>
      </c>
      <c r="K18" s="8">
        <f>SUM(G18:J18)</f>
        <v>1078</v>
      </c>
      <c r="L18" s="4">
        <f>G18*Assumptions!$B$7+H18*Assumptions!$C$7+I18*Assumptions!$D$7+J18*Assumptions!$E$7</f>
        <v>2793200</v>
      </c>
      <c r="M18" s="4">
        <f>G18*Assumptions!$B$7*Assumptions!$B$8+H18*Assumptions!$C$7*Assumptions!$C$8+I18*Assumptions!$D$7*Assumptions!$D$8+J18*Assumptions!$E$7*Assumptions!$E$8</f>
        <v>607312</v>
      </c>
      <c r="N18" s="4">
        <f>C18*Assumptions!$B$5+D18*Assumptions!$C$5+E18*Assumptions!$D$5+F18*Assumptions!$E$5</f>
        <v>19300</v>
      </c>
      <c r="O18" s="4">
        <f>M18-N18</f>
        <v>588012</v>
      </c>
      <c r="P18" s="4">
        <f>G18*Assumptions!$B$9+H18*Assumptions!$C$9+I18*Assumptions!$D$9+J18*Assumptions!$E$9</f>
        <v>182300000</v>
      </c>
      <c r="Q18" s="4">
        <f>P18*Assumptions!$B$14</f>
        <v>127609999.99999999</v>
      </c>
      <c r="R18" s="4">
        <f>P18*Assumptions!$B$15</f>
        <v>36460000</v>
      </c>
      <c r="S18" s="4">
        <f>P18*Assumptions!$B$16</f>
        <v>18230000</v>
      </c>
      <c r="T18" s="4">
        <f>(Q18*Assumptions!$C$14+R18*Assumptions!$C$15)/12</f>
        <v>751987.5</v>
      </c>
    </row>
    <row r="19" spans="1:20" x14ac:dyDescent="0.25">
      <c r="A19">
        <v>16</v>
      </c>
      <c r="B19" t="s">
        <v>57</v>
      </c>
      <c r="C19" s="3">
        <v>12</v>
      </c>
      <c r="D19" s="3">
        <v>8</v>
      </c>
      <c r="E19" s="3">
        <v>14</v>
      </c>
      <c r="F19" s="3">
        <v>5</v>
      </c>
      <c r="G19" s="3">
        <f>G18+C19-ROUND(G18*Assumptions!$B$6,0)</f>
        <v>874</v>
      </c>
      <c r="H19" s="3">
        <f>H18+D19-ROUND(H18*Assumptions!$C$6,0)</f>
        <v>106</v>
      </c>
      <c r="I19" s="3">
        <f>I18+E19-ROUND(I18*Assumptions!$D$6,0)</f>
        <v>100</v>
      </c>
      <c r="J19" s="3">
        <f>J18+F19-ROUND(J18*Assumptions!$E$6,0)</f>
        <v>30</v>
      </c>
      <c r="K19" s="8">
        <f>SUM(G19:J19)</f>
        <v>1110</v>
      </c>
      <c r="L19" s="4">
        <f>G19*Assumptions!$B$7+H19*Assumptions!$C$7+I19*Assumptions!$D$7+J19*Assumptions!$E$7</f>
        <v>2875000</v>
      </c>
      <c r="M19" s="4">
        <f>G19*Assumptions!$B$7*Assumptions!$B$8+H19*Assumptions!$C$7*Assumptions!$C$8+I19*Assumptions!$D$7*Assumptions!$D$8+J19*Assumptions!$E$7*Assumptions!$E$8</f>
        <v>624220</v>
      </c>
      <c r="N19" s="4">
        <f>C19*Assumptions!$B$5+D19*Assumptions!$C$5+E19*Assumptions!$D$5+F19*Assumptions!$E$5</f>
        <v>20000</v>
      </c>
      <c r="O19" s="4">
        <f>M19-N19</f>
        <v>604220</v>
      </c>
      <c r="P19" s="4">
        <f>G19*Assumptions!$B$9+H19*Assumptions!$C$9+I19*Assumptions!$D$9+J19*Assumptions!$E$9</f>
        <v>187600000</v>
      </c>
      <c r="Q19" s="4">
        <f>P19*Assumptions!$B$14</f>
        <v>131319999.99999999</v>
      </c>
      <c r="R19" s="4">
        <f>P19*Assumptions!$B$15</f>
        <v>37520000</v>
      </c>
      <c r="S19" s="4">
        <f>P19*Assumptions!$B$16</f>
        <v>18760000</v>
      </c>
      <c r="T19" s="4">
        <f>(Q19*Assumptions!$C$14+R19*Assumptions!$C$15)/12</f>
        <v>773850</v>
      </c>
    </row>
    <row r="20" spans="1:20" x14ac:dyDescent="0.25">
      <c r="A20">
        <v>17</v>
      </c>
      <c r="B20" t="s">
        <v>58</v>
      </c>
      <c r="C20" s="3">
        <v>10</v>
      </c>
      <c r="D20" s="3">
        <v>8</v>
      </c>
      <c r="E20" s="3">
        <v>15</v>
      </c>
      <c r="F20" s="3">
        <v>5</v>
      </c>
      <c r="G20" s="3">
        <f>G19+C20-ROUND(G19*Assumptions!$B$6,0)</f>
        <v>880</v>
      </c>
      <c r="H20" s="3">
        <f>H19+D20-ROUND(H19*Assumptions!$C$6,0)</f>
        <v>113</v>
      </c>
      <c r="I20" s="3">
        <f>I19+E20-ROUND(I19*Assumptions!$D$6,0)</f>
        <v>114</v>
      </c>
      <c r="J20" s="3">
        <f>J19+F20-ROUND(J19*Assumptions!$E$6,0)</f>
        <v>34</v>
      </c>
      <c r="K20" s="8">
        <f>SUM(G20:J20)</f>
        <v>1141</v>
      </c>
      <c r="L20" s="4">
        <f>G20*Assumptions!$B$7+H20*Assumptions!$C$7+I20*Assumptions!$D$7+J20*Assumptions!$E$7</f>
        <v>2954000</v>
      </c>
      <c r="M20" s="4">
        <f>G20*Assumptions!$B$7*Assumptions!$B$8+H20*Assumptions!$C$7*Assumptions!$C$8+I20*Assumptions!$D$7*Assumptions!$D$8+J20*Assumptions!$E$7*Assumptions!$E$8</f>
        <v>640464</v>
      </c>
      <c r="N20" s="4">
        <f>C20*Assumptions!$B$5+D20*Assumptions!$C$5+E20*Assumptions!$D$5+F20*Assumptions!$E$5</f>
        <v>19550</v>
      </c>
      <c r="O20" s="4">
        <f>M20-N20</f>
        <v>620914</v>
      </c>
      <c r="P20" s="4">
        <f>G20*Assumptions!$B$9+H20*Assumptions!$C$9+I20*Assumptions!$D$9+J20*Assumptions!$E$9</f>
        <v>192710000</v>
      </c>
      <c r="Q20" s="4">
        <f>P20*Assumptions!$B$14</f>
        <v>134897000</v>
      </c>
      <c r="R20" s="4">
        <f>P20*Assumptions!$B$15</f>
        <v>38542000</v>
      </c>
      <c r="S20" s="4">
        <f>P20*Assumptions!$B$16</f>
        <v>19271000</v>
      </c>
      <c r="T20" s="4">
        <f>(Q20*Assumptions!$C$14+R20*Assumptions!$C$15)/12</f>
        <v>794928.75</v>
      </c>
    </row>
    <row r="21" spans="1:20" x14ac:dyDescent="0.25">
      <c r="A21">
        <v>18</v>
      </c>
      <c r="B21" t="s">
        <v>59</v>
      </c>
      <c r="C21" s="3">
        <v>7</v>
      </c>
      <c r="D21" s="3">
        <v>8</v>
      </c>
      <c r="E21" s="3">
        <v>16</v>
      </c>
      <c r="F21" s="3">
        <v>5</v>
      </c>
      <c r="G21" s="3">
        <f>G20+C21-ROUND(G20*Assumptions!$B$6,0)</f>
        <v>883</v>
      </c>
      <c r="H21" s="3">
        <f>H20+D21-ROUND(H20*Assumptions!$C$6,0)</f>
        <v>120</v>
      </c>
      <c r="I21" s="3">
        <f>I20+E21-ROUND(I20*Assumptions!$D$6,0)</f>
        <v>129</v>
      </c>
      <c r="J21" s="3">
        <f>J20+F21-ROUND(J20*Assumptions!$E$6,0)</f>
        <v>38</v>
      </c>
      <c r="K21" s="8">
        <f>SUM(G21:J21)</f>
        <v>1170</v>
      </c>
      <c r="L21" s="4">
        <f>G21*Assumptions!$B$7+H21*Assumptions!$C$7+I21*Assumptions!$D$7+J21*Assumptions!$E$7</f>
        <v>3027600</v>
      </c>
      <c r="M21" s="4">
        <f>G21*Assumptions!$B$7*Assumptions!$B$8+H21*Assumptions!$C$7*Assumptions!$C$8+I21*Assumptions!$D$7*Assumptions!$D$8+J21*Assumptions!$E$7*Assumptions!$E$8</f>
        <v>655472</v>
      </c>
      <c r="N21" s="4">
        <f>C21*Assumptions!$B$5+D21*Assumptions!$C$5+E21*Assumptions!$D$5+F21*Assumptions!$E$5</f>
        <v>18750</v>
      </c>
      <c r="O21" s="4">
        <f>M21-N21</f>
        <v>636722</v>
      </c>
      <c r="P21" s="4">
        <f>G21*Assumptions!$B$9+H21*Assumptions!$C$9+I21*Assumptions!$D$9+J21*Assumptions!$E$9</f>
        <v>197460000</v>
      </c>
      <c r="Q21" s="4">
        <f>P21*Assumptions!$B$14</f>
        <v>138222000</v>
      </c>
      <c r="R21" s="4">
        <f>P21*Assumptions!$B$15</f>
        <v>39492000</v>
      </c>
      <c r="S21" s="4">
        <f>P21*Assumptions!$B$16</f>
        <v>19746000</v>
      </c>
      <c r="T21" s="4">
        <f>(Q21*Assumptions!$C$14+R21*Assumptions!$C$15)/12</f>
        <v>814522.5</v>
      </c>
    </row>
    <row r="22" spans="1:20" x14ac:dyDescent="0.25">
      <c r="A22">
        <v>19</v>
      </c>
      <c r="B22" t="s">
        <v>60</v>
      </c>
      <c r="C22" s="3">
        <v>0</v>
      </c>
      <c r="D22" s="3">
        <v>8</v>
      </c>
      <c r="E22" s="3">
        <v>17</v>
      </c>
      <c r="F22" s="3">
        <v>6</v>
      </c>
      <c r="G22" s="3">
        <f>G21+C22-ROUND(G21*Assumptions!$B$6,0)</f>
        <v>879</v>
      </c>
      <c r="H22" s="3">
        <f>H21+D22-ROUND(H21*Assumptions!$C$6,0)</f>
        <v>127</v>
      </c>
      <c r="I22" s="3">
        <f>I21+E22-ROUND(I21*Assumptions!$D$6,0)</f>
        <v>145</v>
      </c>
      <c r="J22" s="3">
        <f>J21+F22-ROUND(J21*Assumptions!$E$6,0)</f>
        <v>43</v>
      </c>
      <c r="K22" s="8">
        <f>SUM(G22:J22)</f>
        <v>1194</v>
      </c>
      <c r="L22" s="4">
        <f>G22*Assumptions!$B$7+H22*Assumptions!$C$7+I22*Assumptions!$D$7+J22*Assumptions!$E$7</f>
        <v>3088300</v>
      </c>
      <c r="M22" s="4">
        <f>G22*Assumptions!$B$7*Assumptions!$B$8+H22*Assumptions!$C$7*Assumptions!$C$8+I22*Assumptions!$D$7*Assumptions!$D$8+J22*Assumptions!$E$7*Assumptions!$E$8</f>
        <v>667478</v>
      </c>
      <c r="N22" s="4">
        <f>C22*Assumptions!$B$5+D22*Assumptions!$C$5+E22*Assumptions!$D$5+F22*Assumptions!$E$5</f>
        <v>18050</v>
      </c>
      <c r="O22" s="4">
        <f>M22-N22</f>
        <v>649428</v>
      </c>
      <c r="P22" s="4">
        <f>G22*Assumptions!$B$9+H22*Assumptions!$C$9+I22*Assumptions!$D$9+J22*Assumptions!$E$9</f>
        <v>201370000</v>
      </c>
      <c r="Q22" s="4">
        <f>P22*Assumptions!$B$14</f>
        <v>140959000</v>
      </c>
      <c r="R22" s="4">
        <f>P22*Assumptions!$B$15</f>
        <v>40274000</v>
      </c>
      <c r="S22" s="4">
        <f>P22*Assumptions!$B$16</f>
        <v>20137000</v>
      </c>
      <c r="T22" s="4">
        <f>(Q22*Assumptions!$C$14+R22*Assumptions!$C$15)/12</f>
        <v>830651.25</v>
      </c>
    </row>
    <row r="23" spans="1:20" x14ac:dyDescent="0.25">
      <c r="A23">
        <v>20</v>
      </c>
      <c r="B23" t="s">
        <v>61</v>
      </c>
      <c r="C23" s="3">
        <v>0</v>
      </c>
      <c r="D23" s="3">
        <v>8</v>
      </c>
      <c r="E23" s="3">
        <v>18</v>
      </c>
      <c r="F23" s="3">
        <v>6</v>
      </c>
      <c r="G23" s="3">
        <f>G22+C23-ROUND(G22*Assumptions!$B$6,0)</f>
        <v>875</v>
      </c>
      <c r="H23" s="3">
        <f>H22+D23-ROUND(H22*Assumptions!$C$6,0)</f>
        <v>134</v>
      </c>
      <c r="I23" s="3">
        <f>I22+E23-ROUND(I22*Assumptions!$D$6,0)</f>
        <v>162</v>
      </c>
      <c r="J23" s="3">
        <f>J22+F23-ROUND(J22*Assumptions!$E$6,0)</f>
        <v>48</v>
      </c>
      <c r="K23" s="8">
        <f>SUM(G23:J23)</f>
        <v>1219</v>
      </c>
      <c r="L23" s="4">
        <f>G23*Assumptions!$B$7+H23*Assumptions!$C$7+I23*Assumptions!$D$7+J23*Assumptions!$E$7</f>
        <v>3151400</v>
      </c>
      <c r="M23" s="4">
        <f>G23*Assumptions!$B$7*Assumptions!$B$8+H23*Assumptions!$C$7*Assumptions!$C$8+I23*Assumptions!$D$7*Assumptions!$D$8+J23*Assumptions!$E$7*Assumptions!$E$8</f>
        <v>679964</v>
      </c>
      <c r="N23" s="4">
        <f>C23*Assumptions!$B$5+D23*Assumptions!$C$5+E23*Assumptions!$D$5+F23*Assumptions!$E$5</f>
        <v>18300</v>
      </c>
      <c r="O23" s="4">
        <f>M23-N23</f>
        <v>661664</v>
      </c>
      <c r="P23" s="4">
        <f>G23*Assumptions!$B$9+H23*Assumptions!$C$9+I23*Assumptions!$D$9+J23*Assumptions!$E$9</f>
        <v>205430000</v>
      </c>
      <c r="Q23" s="4">
        <f>P23*Assumptions!$B$14</f>
        <v>143801000</v>
      </c>
      <c r="R23" s="4">
        <f>P23*Assumptions!$B$15</f>
        <v>41086000</v>
      </c>
      <c r="S23" s="4">
        <f>P23*Assumptions!$B$16</f>
        <v>20543000</v>
      </c>
      <c r="T23" s="4">
        <f>(Q23*Assumptions!$C$14+R23*Assumptions!$C$15)/12</f>
        <v>847398.75</v>
      </c>
    </row>
    <row r="24" spans="1:20" x14ac:dyDescent="0.25">
      <c r="A24">
        <v>21</v>
      </c>
      <c r="B24" t="s">
        <v>62</v>
      </c>
      <c r="C24" s="3">
        <v>0</v>
      </c>
      <c r="D24" s="3">
        <v>8</v>
      </c>
      <c r="E24" s="3">
        <v>18</v>
      </c>
      <c r="F24" s="3">
        <v>6</v>
      </c>
      <c r="G24" s="3">
        <f>G23+C24-ROUND(G23*Assumptions!$B$6,0)</f>
        <v>871</v>
      </c>
      <c r="H24" s="3">
        <f>H23+D24-ROUND(H23*Assumptions!$C$6,0)</f>
        <v>141</v>
      </c>
      <c r="I24" s="3">
        <f>I23+E24-ROUND(I23*Assumptions!$D$6,0)</f>
        <v>178</v>
      </c>
      <c r="J24" s="3">
        <f>J23+F24-ROUND(J23*Assumptions!$E$6,0)</f>
        <v>53</v>
      </c>
      <c r="K24" s="8">
        <f>SUM(G24:J24)</f>
        <v>1243</v>
      </c>
      <c r="L24" s="4">
        <f>G24*Assumptions!$B$7+H24*Assumptions!$C$7+I24*Assumptions!$D$7+J24*Assumptions!$E$7</f>
        <v>3212100</v>
      </c>
      <c r="M24" s="4">
        <f>G24*Assumptions!$B$7*Assumptions!$B$8+H24*Assumptions!$C$7*Assumptions!$C$8+I24*Assumptions!$D$7*Assumptions!$D$8+J24*Assumptions!$E$7*Assumptions!$E$8</f>
        <v>691970</v>
      </c>
      <c r="N24" s="4">
        <f>C24*Assumptions!$B$5+D24*Assumptions!$C$5+E24*Assumptions!$D$5+F24*Assumptions!$E$5</f>
        <v>18300</v>
      </c>
      <c r="O24" s="4">
        <f>M24-N24</f>
        <v>673670</v>
      </c>
      <c r="P24" s="4">
        <f>G24*Assumptions!$B$9+H24*Assumptions!$C$9+I24*Assumptions!$D$9+J24*Assumptions!$E$9</f>
        <v>209340000</v>
      </c>
      <c r="Q24" s="4">
        <f>P24*Assumptions!$B$14</f>
        <v>146538000</v>
      </c>
      <c r="R24" s="4">
        <f>P24*Assumptions!$B$15</f>
        <v>41868000</v>
      </c>
      <c r="S24" s="4">
        <f>P24*Assumptions!$B$16</f>
        <v>20934000</v>
      </c>
      <c r="T24" s="4">
        <f>(Q24*Assumptions!$C$14+R24*Assumptions!$C$15)/12</f>
        <v>863527.5</v>
      </c>
    </row>
    <row r="25" spans="1:20" x14ac:dyDescent="0.25">
      <c r="A25">
        <v>22</v>
      </c>
      <c r="B25" t="s">
        <v>63</v>
      </c>
      <c r="C25" s="3">
        <v>0</v>
      </c>
      <c r="D25" s="3">
        <v>8</v>
      </c>
      <c r="E25" s="3">
        <v>18</v>
      </c>
      <c r="F25" s="3">
        <v>7</v>
      </c>
      <c r="G25" s="3">
        <f>G24+C25-ROUND(G24*Assumptions!$B$6,0)</f>
        <v>867</v>
      </c>
      <c r="H25" s="3">
        <f>H24+D25-ROUND(H24*Assumptions!$C$6,0)</f>
        <v>148</v>
      </c>
      <c r="I25" s="3">
        <f>I24+E25-ROUND(I24*Assumptions!$D$6,0)</f>
        <v>194</v>
      </c>
      <c r="J25" s="3">
        <f>J24+F25-ROUND(J24*Assumptions!$E$6,0)</f>
        <v>59</v>
      </c>
      <c r="K25" s="8">
        <f>SUM(G25:J25)</f>
        <v>1268</v>
      </c>
      <c r="L25" s="4">
        <f>G25*Assumptions!$B$7+H25*Assumptions!$C$7+I25*Assumptions!$D$7+J25*Assumptions!$E$7</f>
        <v>3275700</v>
      </c>
      <c r="M25" s="4">
        <f>G25*Assumptions!$B$7*Assumptions!$B$8+H25*Assumptions!$C$7*Assumptions!$C$8+I25*Assumptions!$D$7*Assumptions!$D$8+J25*Assumptions!$E$7*Assumptions!$E$8</f>
        <v>704498</v>
      </c>
      <c r="N25" s="4">
        <f>C25*Assumptions!$B$5+D25*Assumptions!$C$5+E25*Assumptions!$D$5+F25*Assumptions!$E$5</f>
        <v>19800</v>
      </c>
      <c r="O25" s="4">
        <f>M25-N25</f>
        <v>684698</v>
      </c>
      <c r="P25" s="4">
        <f>G25*Assumptions!$B$9+H25*Assumptions!$C$9+I25*Assumptions!$D$9+J25*Assumptions!$E$9</f>
        <v>213450000</v>
      </c>
      <c r="Q25" s="4">
        <f>P25*Assumptions!$B$14</f>
        <v>149415000</v>
      </c>
      <c r="R25" s="4">
        <f>P25*Assumptions!$B$15</f>
        <v>42690000</v>
      </c>
      <c r="S25" s="4">
        <f>P25*Assumptions!$B$16</f>
        <v>21345000</v>
      </c>
      <c r="T25" s="4">
        <f>(Q25*Assumptions!$C$14+R25*Assumptions!$C$15)/12</f>
        <v>880481.25</v>
      </c>
    </row>
    <row r="26" spans="1:20" x14ac:dyDescent="0.25">
      <c r="A26">
        <v>23</v>
      </c>
      <c r="B26" t="s">
        <v>64</v>
      </c>
      <c r="C26" s="3">
        <v>0</v>
      </c>
      <c r="D26" s="3">
        <v>8</v>
      </c>
      <c r="E26" s="3">
        <v>18</v>
      </c>
      <c r="F26" s="3">
        <v>7</v>
      </c>
      <c r="G26" s="3">
        <f>G25+C26-ROUND(G25*Assumptions!$B$6,0)</f>
        <v>863</v>
      </c>
      <c r="H26" s="3">
        <f>H25+D26-ROUND(H25*Assumptions!$C$6,0)</f>
        <v>155</v>
      </c>
      <c r="I26" s="3">
        <f>I25+E26-ROUND(I25*Assumptions!$D$6,0)</f>
        <v>210</v>
      </c>
      <c r="J26" s="3">
        <f>J25+F26-ROUND(J25*Assumptions!$E$6,0)</f>
        <v>65</v>
      </c>
      <c r="K26" s="8">
        <f>SUM(G26:J26)</f>
        <v>1293</v>
      </c>
      <c r="L26" s="4">
        <f>G26*Assumptions!$B$7+H26*Assumptions!$C$7+I26*Assumptions!$D$7+J26*Assumptions!$E$7</f>
        <v>3339300</v>
      </c>
      <c r="M26" s="4">
        <f>G26*Assumptions!$B$7*Assumptions!$B$8+H26*Assumptions!$C$7*Assumptions!$C$8+I26*Assumptions!$D$7*Assumptions!$D$8+J26*Assumptions!$E$7*Assumptions!$E$8</f>
        <v>717026</v>
      </c>
      <c r="N26" s="4">
        <f>C26*Assumptions!$B$5+D26*Assumptions!$C$5+E26*Assumptions!$D$5+F26*Assumptions!$E$5</f>
        <v>19800</v>
      </c>
      <c r="O26" s="4">
        <f>M26-N26</f>
        <v>697226</v>
      </c>
      <c r="P26" s="4">
        <f>G26*Assumptions!$B$9+H26*Assumptions!$C$9+I26*Assumptions!$D$9+J26*Assumptions!$E$9</f>
        <v>217560000</v>
      </c>
      <c r="Q26" s="4">
        <f>P26*Assumptions!$B$14</f>
        <v>152292000</v>
      </c>
      <c r="R26" s="4">
        <f>P26*Assumptions!$B$15</f>
        <v>43512000</v>
      </c>
      <c r="S26" s="4">
        <f>P26*Assumptions!$B$16</f>
        <v>21756000</v>
      </c>
      <c r="T26" s="4">
        <f>(Q26*Assumptions!$C$14+R26*Assumptions!$C$15)/12</f>
        <v>897435</v>
      </c>
    </row>
    <row r="27" spans="1:20" x14ac:dyDescent="0.25">
      <c r="A27">
        <v>24</v>
      </c>
      <c r="B27" t="s">
        <v>65</v>
      </c>
      <c r="C27" s="3">
        <v>0</v>
      </c>
      <c r="D27" s="3">
        <v>14</v>
      </c>
      <c r="E27" s="3">
        <v>18</v>
      </c>
      <c r="F27" s="3">
        <v>8</v>
      </c>
      <c r="G27" s="3">
        <f>G26+C27-ROUND(G26*Assumptions!$B$6,0)</f>
        <v>859</v>
      </c>
      <c r="H27" s="3">
        <f>H26+D27-ROUND(H26*Assumptions!$C$6,0)</f>
        <v>168</v>
      </c>
      <c r="I27" s="3">
        <f>I26+E27-ROUND(I26*Assumptions!$D$6,0)</f>
        <v>226</v>
      </c>
      <c r="J27" s="3">
        <f>J26+F27-ROUND(J26*Assumptions!$E$6,0)</f>
        <v>71</v>
      </c>
      <c r="K27" s="8">
        <f>SUM(G27:J27)</f>
        <v>1324</v>
      </c>
      <c r="L27" s="4">
        <f>G27*Assumptions!$B$7+H27*Assumptions!$C$7+I27*Assumptions!$D$7+J27*Assumptions!$E$7</f>
        <v>3418500</v>
      </c>
      <c r="M27" s="4">
        <f>G27*Assumptions!$B$7*Assumptions!$B$8+H27*Assumptions!$C$7*Assumptions!$C$8+I27*Assumptions!$D$7*Assumptions!$D$8+J27*Assumptions!$E$7*Assumptions!$E$8</f>
        <v>732986</v>
      </c>
      <c r="N27" s="4">
        <f>C27*Assumptions!$B$5+D27*Assumptions!$C$5+E27*Assumptions!$D$5+F27*Assumptions!$E$5</f>
        <v>24900</v>
      </c>
      <c r="O27" s="4">
        <f>M27-N27</f>
        <v>708086</v>
      </c>
      <c r="P27" s="4">
        <f>G27*Assumptions!$B$9+H27*Assumptions!$C$9+I27*Assumptions!$D$9+J27*Assumptions!$E$9</f>
        <v>222690000</v>
      </c>
      <c r="Q27" s="4">
        <f>P27*Assumptions!$B$14</f>
        <v>155883000</v>
      </c>
      <c r="R27" s="4">
        <f>P27*Assumptions!$B$15</f>
        <v>44538000</v>
      </c>
      <c r="S27" s="4">
        <f>P27*Assumptions!$B$16</f>
        <v>22269000</v>
      </c>
      <c r="T27" s="4">
        <f>(Q27*Assumptions!$C$14+R27*Assumptions!$C$15)/12</f>
        <v>918596.25</v>
      </c>
    </row>
    <row r="28" spans="1:20" x14ac:dyDescent="0.25">
      <c r="A28">
        <v>25</v>
      </c>
      <c r="B28" t="s">
        <v>66</v>
      </c>
      <c r="C28" s="3">
        <v>0</v>
      </c>
      <c r="D28" s="3">
        <v>0</v>
      </c>
      <c r="E28" s="3">
        <v>18</v>
      </c>
      <c r="F28" s="3">
        <v>8</v>
      </c>
      <c r="G28" s="3">
        <f>G27+C28-ROUND(G27*Assumptions!$B$6,0)</f>
        <v>855</v>
      </c>
      <c r="H28" s="3">
        <f>H27+D28-ROUND(H27*Assumptions!$C$6,0)</f>
        <v>167</v>
      </c>
      <c r="I28" s="3">
        <f>I27+E28-ROUND(I27*Assumptions!$D$6,0)</f>
        <v>242</v>
      </c>
      <c r="J28" s="3">
        <f>J27+F28-ROUND(J27*Assumptions!$E$6,0)</f>
        <v>77</v>
      </c>
      <c r="K28" s="8">
        <f>SUM(G28:J28)</f>
        <v>1341</v>
      </c>
      <c r="L28" s="4">
        <f>G28*Assumptions!$B$7+H28*Assumptions!$C$7+I28*Assumptions!$D$7+J28*Assumptions!$E$7</f>
        <v>3461300</v>
      </c>
      <c r="M28" s="4">
        <f>G28*Assumptions!$B$7*Assumptions!$B$8+H28*Assumptions!$C$7*Assumptions!$C$8+I28*Assumptions!$D$7*Assumptions!$D$8+J28*Assumptions!$E$7*Assumptions!$E$8</f>
        <v>740938</v>
      </c>
      <c r="N28" s="4">
        <f>C28*Assumptions!$B$5+D28*Assumptions!$C$5+E28*Assumptions!$D$5+F28*Assumptions!$E$5</f>
        <v>16500</v>
      </c>
      <c r="O28" s="4">
        <f>M28-N28</f>
        <v>724438</v>
      </c>
      <c r="P28" s="4">
        <f>G28*Assumptions!$B$9+H28*Assumptions!$C$9+I28*Assumptions!$D$9+J28*Assumptions!$E$9</f>
        <v>225440000</v>
      </c>
      <c r="Q28" s="4">
        <f>P28*Assumptions!$B$14</f>
        <v>157808000</v>
      </c>
      <c r="R28" s="4">
        <f>P28*Assumptions!$B$15</f>
        <v>45088000</v>
      </c>
      <c r="S28" s="4">
        <f>P28*Assumptions!$B$16</f>
        <v>22544000</v>
      </c>
      <c r="T28" s="4">
        <f>(Q28*Assumptions!$C$14+R28*Assumptions!$C$15)/12</f>
        <v>929940</v>
      </c>
    </row>
    <row r="29" spans="1:20" x14ac:dyDescent="0.25">
      <c r="A29">
        <v>26</v>
      </c>
      <c r="B29" t="s">
        <v>67</v>
      </c>
      <c r="C29" s="3">
        <v>0</v>
      </c>
      <c r="D29" s="3">
        <v>0</v>
      </c>
      <c r="E29" s="3">
        <v>18</v>
      </c>
      <c r="F29" s="3">
        <v>8</v>
      </c>
      <c r="G29" s="3">
        <f>G28+C29-ROUND(G28*Assumptions!$B$6,0)</f>
        <v>851</v>
      </c>
      <c r="H29" s="3">
        <f>H28+D29-ROUND(H28*Assumptions!$C$6,0)</f>
        <v>166</v>
      </c>
      <c r="I29" s="3">
        <f>I28+E29-ROUND(I28*Assumptions!$D$6,0)</f>
        <v>258</v>
      </c>
      <c r="J29" s="3">
        <f>J28+F29-ROUND(J28*Assumptions!$E$6,0)</f>
        <v>83</v>
      </c>
      <c r="K29" s="8">
        <f>SUM(G29:J29)</f>
        <v>1358</v>
      </c>
      <c r="L29" s="4">
        <f>G29*Assumptions!$B$7+H29*Assumptions!$C$7+I29*Assumptions!$D$7+J29*Assumptions!$E$7</f>
        <v>3504100</v>
      </c>
      <c r="M29" s="4">
        <f>G29*Assumptions!$B$7*Assumptions!$B$8+H29*Assumptions!$C$7*Assumptions!$C$8+I29*Assumptions!$D$7*Assumptions!$D$8+J29*Assumptions!$E$7*Assumptions!$E$8</f>
        <v>748890</v>
      </c>
      <c r="N29" s="4">
        <f>C29*Assumptions!$B$5+D29*Assumptions!$C$5+E29*Assumptions!$D$5+F29*Assumptions!$E$5</f>
        <v>16500</v>
      </c>
      <c r="O29" s="4">
        <f>M29-N29</f>
        <v>732390</v>
      </c>
      <c r="P29" s="4">
        <f>G29*Assumptions!$B$9+H29*Assumptions!$C$9+I29*Assumptions!$D$9+J29*Assumptions!$E$9</f>
        <v>228190000</v>
      </c>
      <c r="Q29" s="4">
        <f>P29*Assumptions!$B$14</f>
        <v>159733000</v>
      </c>
      <c r="R29" s="4">
        <f>P29*Assumptions!$B$15</f>
        <v>45638000</v>
      </c>
      <c r="S29" s="4">
        <f>P29*Assumptions!$B$16</f>
        <v>22819000</v>
      </c>
      <c r="T29" s="4">
        <f>(Q29*Assumptions!$C$14+R29*Assumptions!$C$15)/12</f>
        <v>941283.75</v>
      </c>
    </row>
    <row r="30" spans="1:20" x14ac:dyDescent="0.25">
      <c r="A30">
        <v>27</v>
      </c>
      <c r="B30" t="s">
        <v>68</v>
      </c>
      <c r="C30" s="3">
        <v>0</v>
      </c>
      <c r="D30" s="3">
        <v>0</v>
      </c>
      <c r="E30" s="3">
        <v>18</v>
      </c>
      <c r="F30" s="3">
        <v>9</v>
      </c>
      <c r="G30" s="3">
        <f>G29+C30-ROUND(G29*Assumptions!$B$6,0)</f>
        <v>847</v>
      </c>
      <c r="H30" s="3">
        <f>H29+D30-ROUND(H29*Assumptions!$C$6,0)</f>
        <v>165</v>
      </c>
      <c r="I30" s="3">
        <f>I29+E30-ROUND(I29*Assumptions!$D$6,0)</f>
        <v>273</v>
      </c>
      <c r="J30" s="3">
        <f>J29+F30-ROUND(J29*Assumptions!$E$6,0)</f>
        <v>90</v>
      </c>
      <c r="K30" s="8">
        <f>SUM(G30:J30)</f>
        <v>1375</v>
      </c>
      <c r="L30" s="4">
        <f>G30*Assumptions!$B$7+H30*Assumptions!$C$7+I30*Assumptions!$D$7+J30*Assumptions!$E$7</f>
        <v>3547400</v>
      </c>
      <c r="M30" s="4">
        <f>G30*Assumptions!$B$7*Assumptions!$B$8+H30*Assumptions!$C$7*Assumptions!$C$8+I30*Assumptions!$D$7*Assumptions!$D$8+J30*Assumptions!$E$7*Assumptions!$E$8</f>
        <v>756884</v>
      </c>
      <c r="N30" s="4">
        <f>C30*Assumptions!$B$5+D30*Assumptions!$C$5+E30*Assumptions!$D$5+F30*Assumptions!$E$5</f>
        <v>18000</v>
      </c>
      <c r="O30" s="4">
        <f>M30-N30</f>
        <v>738884</v>
      </c>
      <c r="P30" s="4">
        <f>G30*Assumptions!$B$9+H30*Assumptions!$C$9+I30*Assumptions!$D$9+J30*Assumptions!$E$9</f>
        <v>230990000</v>
      </c>
      <c r="Q30" s="4">
        <f>P30*Assumptions!$B$14</f>
        <v>161693000</v>
      </c>
      <c r="R30" s="4">
        <f>P30*Assumptions!$B$15</f>
        <v>46198000</v>
      </c>
      <c r="S30" s="4">
        <f>P30*Assumptions!$B$16</f>
        <v>23099000</v>
      </c>
      <c r="T30" s="4">
        <f>(Q30*Assumptions!$C$14+R30*Assumptions!$C$15)/12</f>
        <v>952833.75</v>
      </c>
    </row>
    <row r="31" spans="1:20" x14ac:dyDescent="0.25">
      <c r="A31">
        <v>28</v>
      </c>
      <c r="B31" t="s">
        <v>69</v>
      </c>
      <c r="C31" s="3">
        <v>0</v>
      </c>
      <c r="D31" s="3">
        <v>0</v>
      </c>
      <c r="E31" s="3">
        <v>18</v>
      </c>
      <c r="F31" s="3">
        <v>9</v>
      </c>
      <c r="G31" s="3">
        <f>G30+C31-ROUND(G30*Assumptions!$B$6,0)</f>
        <v>843</v>
      </c>
      <c r="H31" s="3">
        <f>H30+D31-ROUND(H30*Assumptions!$C$6,0)</f>
        <v>164</v>
      </c>
      <c r="I31" s="3">
        <f>I30+E31-ROUND(I30*Assumptions!$D$6,0)</f>
        <v>288</v>
      </c>
      <c r="J31" s="3">
        <f>J30+F31-ROUND(J30*Assumptions!$E$6,0)</f>
        <v>97</v>
      </c>
      <c r="K31" s="8">
        <f>SUM(G31:J31)</f>
        <v>1392</v>
      </c>
      <c r="L31" s="4">
        <f>G31*Assumptions!$B$7+H31*Assumptions!$C$7+I31*Assumptions!$D$7+J31*Assumptions!$E$7</f>
        <v>3590700</v>
      </c>
      <c r="M31" s="4">
        <f>G31*Assumptions!$B$7*Assumptions!$B$8+H31*Assumptions!$C$7*Assumptions!$C$8+I31*Assumptions!$D$7*Assumptions!$D$8+J31*Assumptions!$E$7*Assumptions!$E$8</f>
        <v>764878</v>
      </c>
      <c r="N31" s="4">
        <f>C31*Assumptions!$B$5+D31*Assumptions!$C$5+E31*Assumptions!$D$5+F31*Assumptions!$E$5</f>
        <v>18000</v>
      </c>
      <c r="O31" s="4">
        <f>M31-N31</f>
        <v>746878</v>
      </c>
      <c r="P31" s="4">
        <f>G31*Assumptions!$B$9+H31*Assumptions!$C$9+I31*Assumptions!$D$9+J31*Assumptions!$E$9</f>
        <v>233790000</v>
      </c>
      <c r="Q31" s="4">
        <f>P31*Assumptions!$B$14</f>
        <v>163653000</v>
      </c>
      <c r="R31" s="4">
        <f>P31*Assumptions!$B$15</f>
        <v>46758000</v>
      </c>
      <c r="S31" s="4">
        <f>P31*Assumptions!$B$16</f>
        <v>23379000</v>
      </c>
      <c r="T31" s="4">
        <f>(Q31*Assumptions!$C$14+R31*Assumptions!$C$15)/12</f>
        <v>964383.75</v>
      </c>
    </row>
    <row r="32" spans="1:20" x14ac:dyDescent="0.25">
      <c r="A32">
        <v>29</v>
      </c>
      <c r="B32" t="s">
        <v>70</v>
      </c>
      <c r="C32" s="3">
        <v>0</v>
      </c>
      <c r="D32" s="3">
        <v>0</v>
      </c>
      <c r="E32" s="3">
        <v>18</v>
      </c>
      <c r="F32" s="3">
        <v>9</v>
      </c>
      <c r="G32" s="3">
        <f>G31+C32-ROUND(G31*Assumptions!$B$6,0)</f>
        <v>839</v>
      </c>
      <c r="H32" s="3">
        <f>H31+D32-ROUND(H31*Assumptions!$C$6,0)</f>
        <v>163</v>
      </c>
      <c r="I32" s="3">
        <f>I31+E32-ROUND(I31*Assumptions!$D$6,0)</f>
        <v>303</v>
      </c>
      <c r="J32" s="3">
        <f>J31+F32-ROUND(J31*Assumptions!$E$6,0)</f>
        <v>104</v>
      </c>
      <c r="K32" s="8">
        <f>SUM(G32:J32)</f>
        <v>1409</v>
      </c>
      <c r="L32" s="4">
        <f>G32*Assumptions!$B$7+H32*Assumptions!$C$7+I32*Assumptions!$D$7+J32*Assumptions!$E$7</f>
        <v>3634000</v>
      </c>
      <c r="M32" s="4">
        <f>G32*Assumptions!$B$7*Assumptions!$B$8+H32*Assumptions!$C$7*Assumptions!$C$8+I32*Assumptions!$D$7*Assumptions!$D$8+J32*Assumptions!$E$7*Assumptions!$E$8</f>
        <v>772872</v>
      </c>
      <c r="N32" s="4">
        <f>C32*Assumptions!$B$5+D32*Assumptions!$C$5+E32*Assumptions!$D$5+F32*Assumptions!$E$5</f>
        <v>18000</v>
      </c>
      <c r="O32" s="4">
        <f>M32-N32</f>
        <v>754872</v>
      </c>
      <c r="P32" s="4">
        <f>G32*Assumptions!$B$9+H32*Assumptions!$C$9+I32*Assumptions!$D$9+J32*Assumptions!$E$9</f>
        <v>236590000</v>
      </c>
      <c r="Q32" s="4">
        <f>P32*Assumptions!$B$14</f>
        <v>165613000</v>
      </c>
      <c r="R32" s="4">
        <f>P32*Assumptions!$B$15</f>
        <v>47318000</v>
      </c>
      <c r="S32" s="4">
        <f>P32*Assumptions!$B$16</f>
        <v>23659000</v>
      </c>
      <c r="T32" s="4">
        <f>(Q32*Assumptions!$C$14+R32*Assumptions!$C$15)/12</f>
        <v>975933.75</v>
      </c>
    </row>
    <row r="33" spans="1:20" x14ac:dyDescent="0.25">
      <c r="A33">
        <v>30</v>
      </c>
      <c r="B33" t="s">
        <v>71</v>
      </c>
      <c r="C33" s="3">
        <v>0</v>
      </c>
      <c r="D33" s="3">
        <v>0</v>
      </c>
      <c r="E33" s="3">
        <v>28</v>
      </c>
      <c r="F33" s="3">
        <v>10</v>
      </c>
      <c r="G33" s="3">
        <f>G32+C33-ROUND(G32*Assumptions!$B$6,0)</f>
        <v>835</v>
      </c>
      <c r="H33" s="3">
        <f>H32+D33-ROUND(H32*Assumptions!$C$6,0)</f>
        <v>162</v>
      </c>
      <c r="I33" s="3">
        <f>I32+E33-ROUND(I32*Assumptions!$D$6,0)</f>
        <v>328</v>
      </c>
      <c r="J33" s="3">
        <f>J32+F33-ROUND(J32*Assumptions!$E$6,0)</f>
        <v>111</v>
      </c>
      <c r="K33" s="8">
        <f>SUM(G33:J33)</f>
        <v>1436</v>
      </c>
      <c r="L33" s="4">
        <f>G33*Assumptions!$B$7+H33*Assumptions!$C$7+I33*Assumptions!$D$7+J33*Assumptions!$E$7</f>
        <v>3701300</v>
      </c>
      <c r="M33" s="4">
        <f>G33*Assumptions!$B$7*Assumptions!$B$8+H33*Assumptions!$C$7*Assumptions!$C$8+I33*Assumptions!$D$7*Assumptions!$D$8+J33*Assumptions!$E$7*Assumptions!$E$8</f>
        <v>785666</v>
      </c>
      <c r="N33" s="4">
        <f>C33*Assumptions!$B$5+D33*Assumptions!$C$5+E33*Assumptions!$D$5+F33*Assumptions!$E$5</f>
        <v>22000</v>
      </c>
      <c r="O33" s="4">
        <f>M33-N33</f>
        <v>763666</v>
      </c>
      <c r="P33" s="4">
        <f>G33*Assumptions!$B$9+H33*Assumptions!$C$9+I33*Assumptions!$D$9+J33*Assumptions!$E$9</f>
        <v>240890000</v>
      </c>
      <c r="Q33" s="4">
        <f>P33*Assumptions!$B$14</f>
        <v>168623000</v>
      </c>
      <c r="R33" s="4">
        <f>P33*Assumptions!$B$15</f>
        <v>48178000</v>
      </c>
      <c r="S33" s="4">
        <f>P33*Assumptions!$B$16</f>
        <v>24089000</v>
      </c>
      <c r="T33" s="4">
        <f>(Q33*Assumptions!$C$14+R33*Assumptions!$C$15)/12</f>
        <v>993671.25</v>
      </c>
    </row>
    <row r="34" spans="1:20" x14ac:dyDescent="0.25">
      <c r="A34">
        <v>31</v>
      </c>
      <c r="B34" t="s">
        <v>72</v>
      </c>
      <c r="C34" s="3">
        <v>0</v>
      </c>
      <c r="D34" s="3">
        <v>0</v>
      </c>
      <c r="E34" s="3">
        <v>0</v>
      </c>
      <c r="F34" s="3">
        <v>10</v>
      </c>
      <c r="G34" s="3">
        <f>G33+C34-ROUND(G33*Assumptions!$B$6,0)</f>
        <v>831</v>
      </c>
      <c r="H34" s="3">
        <f>H33+D34-ROUND(H33*Assumptions!$C$6,0)</f>
        <v>161</v>
      </c>
      <c r="I34" s="3">
        <f>I33+E34-ROUND(I33*Assumptions!$D$6,0)</f>
        <v>325</v>
      </c>
      <c r="J34" s="3">
        <f>J33+F34-ROUND(J33*Assumptions!$E$6,0)</f>
        <v>118</v>
      </c>
      <c r="K34" s="8">
        <f>SUM(G34:J34)</f>
        <v>1435</v>
      </c>
      <c r="L34" s="4">
        <f>G34*Assumptions!$B$7+H34*Assumptions!$C$7+I34*Assumptions!$D$7+J34*Assumptions!$E$7</f>
        <v>3701400</v>
      </c>
      <c r="M34" s="4">
        <f>G34*Assumptions!$B$7*Assumptions!$B$8+H34*Assumptions!$C$7*Assumptions!$C$8+I34*Assumptions!$D$7*Assumptions!$D$8+J34*Assumptions!$E$7*Assumptions!$E$8</f>
        <v>785020</v>
      </c>
      <c r="N34" s="4">
        <f>C34*Assumptions!$B$5+D34*Assumptions!$C$5+E34*Assumptions!$D$5+F34*Assumptions!$E$5</f>
        <v>15000</v>
      </c>
      <c r="O34" s="4">
        <f>M34-N34</f>
        <v>770020</v>
      </c>
      <c r="P34" s="4">
        <f>G34*Assumptions!$B$9+H34*Assumptions!$C$9+I34*Assumptions!$D$9+J34*Assumptions!$E$9</f>
        <v>240990000</v>
      </c>
      <c r="Q34" s="4">
        <f>P34*Assumptions!$B$14</f>
        <v>168693000</v>
      </c>
      <c r="R34" s="4">
        <f>P34*Assumptions!$B$15</f>
        <v>48198000</v>
      </c>
      <c r="S34" s="4">
        <f>P34*Assumptions!$B$16</f>
        <v>24099000</v>
      </c>
      <c r="T34" s="4">
        <f>(Q34*Assumptions!$C$14+R34*Assumptions!$C$15)/12</f>
        <v>994083.75</v>
      </c>
    </row>
    <row r="35" spans="1:20" x14ac:dyDescent="0.25">
      <c r="A35">
        <v>32</v>
      </c>
      <c r="B35" t="s">
        <v>73</v>
      </c>
      <c r="C35" s="3">
        <v>0</v>
      </c>
      <c r="D35" s="3">
        <v>0</v>
      </c>
      <c r="E35" s="3">
        <v>0</v>
      </c>
      <c r="F35" s="3">
        <v>10</v>
      </c>
      <c r="G35" s="3">
        <f>G34+C35-ROUND(G34*Assumptions!$B$6,0)</f>
        <v>827</v>
      </c>
      <c r="H35" s="3">
        <f>H34+D35-ROUND(H34*Assumptions!$C$6,0)</f>
        <v>160</v>
      </c>
      <c r="I35" s="3">
        <f>I34+E35-ROUND(I34*Assumptions!$D$6,0)</f>
        <v>322</v>
      </c>
      <c r="J35" s="3">
        <f>J34+F35-ROUND(J34*Assumptions!$E$6,0)</f>
        <v>125</v>
      </c>
      <c r="K35" s="8">
        <f>SUM(G35:J35)</f>
        <v>1434</v>
      </c>
      <c r="L35" s="4">
        <f>G35*Assumptions!$B$7+H35*Assumptions!$C$7+I35*Assumptions!$D$7+J35*Assumptions!$E$7</f>
        <v>3701500</v>
      </c>
      <c r="M35" s="4">
        <f>G35*Assumptions!$B$7*Assumptions!$B$8+H35*Assumptions!$C$7*Assumptions!$C$8+I35*Assumptions!$D$7*Assumptions!$D$8+J35*Assumptions!$E$7*Assumptions!$E$8</f>
        <v>784374</v>
      </c>
      <c r="N35" s="4">
        <f>C35*Assumptions!$B$5+D35*Assumptions!$C$5+E35*Assumptions!$D$5+F35*Assumptions!$E$5</f>
        <v>15000</v>
      </c>
      <c r="O35" s="4">
        <f>M35-N35</f>
        <v>769374</v>
      </c>
      <c r="P35" s="4">
        <f>G35*Assumptions!$B$9+H35*Assumptions!$C$9+I35*Assumptions!$D$9+J35*Assumptions!$E$9</f>
        <v>241090000</v>
      </c>
      <c r="Q35" s="4">
        <f>P35*Assumptions!$B$14</f>
        <v>168763000</v>
      </c>
      <c r="R35" s="4">
        <f>P35*Assumptions!$B$15</f>
        <v>48218000</v>
      </c>
      <c r="S35" s="4">
        <f>P35*Assumptions!$B$16</f>
        <v>24109000</v>
      </c>
      <c r="T35" s="4">
        <f>(Q35*Assumptions!$C$14+R35*Assumptions!$C$15)/12</f>
        <v>994496.25</v>
      </c>
    </row>
    <row r="36" spans="1:20" x14ac:dyDescent="0.25">
      <c r="A36">
        <v>33</v>
      </c>
      <c r="B36" t="s">
        <v>74</v>
      </c>
      <c r="C36" s="3">
        <v>0</v>
      </c>
      <c r="D36" s="3">
        <v>0</v>
      </c>
      <c r="E36" s="3">
        <v>0</v>
      </c>
      <c r="F36" s="3">
        <v>11</v>
      </c>
      <c r="G36" s="3">
        <f>G35+C36-ROUND(G35*Assumptions!$B$6,0)</f>
        <v>823</v>
      </c>
      <c r="H36" s="3">
        <f>H35+D36-ROUND(H35*Assumptions!$C$6,0)</f>
        <v>159</v>
      </c>
      <c r="I36" s="3">
        <f>I35+E36-ROUND(I35*Assumptions!$D$6,0)</f>
        <v>319</v>
      </c>
      <c r="J36" s="3">
        <f>J35+F36-ROUND(J35*Assumptions!$E$6,0)</f>
        <v>133</v>
      </c>
      <c r="K36" s="8">
        <f>SUM(G36:J36)</f>
        <v>1434</v>
      </c>
      <c r="L36" s="4">
        <f>G36*Assumptions!$B$7+H36*Assumptions!$C$7+I36*Assumptions!$D$7+J36*Assumptions!$E$7</f>
        <v>3704500</v>
      </c>
      <c r="M36" s="4">
        <f>G36*Assumptions!$B$7*Assumptions!$B$8+H36*Assumptions!$C$7*Assumptions!$C$8+I36*Assumptions!$D$7*Assumptions!$D$8+J36*Assumptions!$E$7*Assumptions!$E$8</f>
        <v>784250</v>
      </c>
      <c r="N36" s="4">
        <f>C36*Assumptions!$B$5+D36*Assumptions!$C$5+E36*Assumptions!$D$5+F36*Assumptions!$E$5</f>
        <v>16500</v>
      </c>
      <c r="O36" s="4">
        <f>M36-N36</f>
        <v>767750</v>
      </c>
      <c r="P36" s="4">
        <f>G36*Assumptions!$B$9+H36*Assumptions!$C$9+I36*Assumptions!$D$9+J36*Assumptions!$E$9</f>
        <v>241390000</v>
      </c>
      <c r="Q36" s="4">
        <f>P36*Assumptions!$B$14</f>
        <v>168973000</v>
      </c>
      <c r="R36" s="4">
        <f>P36*Assumptions!$B$15</f>
        <v>48278000</v>
      </c>
      <c r="S36" s="4">
        <f>P36*Assumptions!$B$16</f>
        <v>24139000</v>
      </c>
      <c r="T36" s="4">
        <f>(Q36*Assumptions!$C$14+R36*Assumptions!$C$15)/12</f>
        <v>995733.75</v>
      </c>
    </row>
    <row r="37" spans="1:20" x14ac:dyDescent="0.25">
      <c r="A37">
        <v>34</v>
      </c>
      <c r="B37" t="s">
        <v>75</v>
      </c>
      <c r="C37" s="3">
        <v>0</v>
      </c>
      <c r="D37" s="3">
        <v>0</v>
      </c>
      <c r="E37" s="3">
        <v>0</v>
      </c>
      <c r="F37" s="3">
        <v>11</v>
      </c>
      <c r="G37" s="3">
        <f>G36+C37-ROUND(G36*Assumptions!$B$6,0)</f>
        <v>819</v>
      </c>
      <c r="H37" s="3">
        <f>H36+D37-ROUND(H36*Assumptions!$C$6,0)</f>
        <v>158</v>
      </c>
      <c r="I37" s="3">
        <f>I36+E37-ROUND(I36*Assumptions!$D$6,0)</f>
        <v>316</v>
      </c>
      <c r="J37" s="3">
        <f>J36+F37-ROUND(J36*Assumptions!$E$6,0)</f>
        <v>141</v>
      </c>
      <c r="K37" s="8">
        <f>SUM(G37:J37)</f>
        <v>1434</v>
      </c>
      <c r="L37" s="4">
        <f>G37*Assumptions!$B$7+H37*Assumptions!$C$7+I37*Assumptions!$D$7+J37*Assumptions!$E$7</f>
        <v>3707500</v>
      </c>
      <c r="M37" s="4">
        <f>G37*Assumptions!$B$7*Assumptions!$B$8+H37*Assumptions!$C$7*Assumptions!$C$8+I37*Assumptions!$D$7*Assumptions!$D$8+J37*Assumptions!$E$7*Assumptions!$E$8</f>
        <v>784126</v>
      </c>
      <c r="N37" s="4">
        <f>C37*Assumptions!$B$5+D37*Assumptions!$C$5+E37*Assumptions!$D$5+F37*Assumptions!$E$5</f>
        <v>16500</v>
      </c>
      <c r="O37" s="4">
        <f>M37-N37</f>
        <v>767626</v>
      </c>
      <c r="P37" s="4">
        <f>G37*Assumptions!$B$9+H37*Assumptions!$C$9+I37*Assumptions!$D$9+J37*Assumptions!$E$9</f>
        <v>241690000</v>
      </c>
      <c r="Q37" s="4">
        <f>P37*Assumptions!$B$14</f>
        <v>169183000</v>
      </c>
      <c r="R37" s="4">
        <f>P37*Assumptions!$B$15</f>
        <v>48338000</v>
      </c>
      <c r="S37" s="4">
        <f>P37*Assumptions!$B$16</f>
        <v>24169000</v>
      </c>
      <c r="T37" s="4">
        <f>(Q37*Assumptions!$C$14+R37*Assumptions!$C$15)/12</f>
        <v>996971.25</v>
      </c>
    </row>
    <row r="38" spans="1:20" x14ac:dyDescent="0.25">
      <c r="A38">
        <v>35</v>
      </c>
      <c r="B38" t="s">
        <v>76</v>
      </c>
      <c r="C38" s="3">
        <v>0</v>
      </c>
      <c r="D38" s="3">
        <v>0</v>
      </c>
      <c r="E38" s="3">
        <v>0</v>
      </c>
      <c r="F38" s="3">
        <v>11</v>
      </c>
      <c r="G38" s="3">
        <f>G37+C38-ROUND(G37*Assumptions!$B$6,0)</f>
        <v>815</v>
      </c>
      <c r="H38" s="3">
        <f>H37+D38-ROUND(H37*Assumptions!$C$6,0)</f>
        <v>157</v>
      </c>
      <c r="I38" s="3">
        <f>I37+E38-ROUND(I37*Assumptions!$D$6,0)</f>
        <v>313</v>
      </c>
      <c r="J38" s="3">
        <f>J37+F38-ROUND(J37*Assumptions!$E$6,0)</f>
        <v>148</v>
      </c>
      <c r="K38" s="8">
        <f>SUM(G38:J38)</f>
        <v>1433</v>
      </c>
      <c r="L38" s="4">
        <f>G38*Assumptions!$B$7+H38*Assumptions!$C$7+I38*Assumptions!$D$7+J38*Assumptions!$E$7</f>
        <v>3707600</v>
      </c>
      <c r="M38" s="4">
        <f>G38*Assumptions!$B$7*Assumptions!$B$8+H38*Assumptions!$C$7*Assumptions!$C$8+I38*Assumptions!$D$7*Assumptions!$D$8+J38*Assumptions!$E$7*Assumptions!$E$8</f>
        <v>783480</v>
      </c>
      <c r="N38" s="4">
        <f>C38*Assumptions!$B$5+D38*Assumptions!$C$5+E38*Assumptions!$D$5+F38*Assumptions!$E$5</f>
        <v>16500</v>
      </c>
      <c r="O38" s="4">
        <f>M38-N38</f>
        <v>766980</v>
      </c>
      <c r="P38" s="4">
        <f>G38*Assumptions!$B$9+H38*Assumptions!$C$9+I38*Assumptions!$D$9+J38*Assumptions!$E$9</f>
        <v>241790000</v>
      </c>
      <c r="Q38" s="4">
        <f>P38*Assumptions!$B$14</f>
        <v>169253000</v>
      </c>
      <c r="R38" s="4">
        <f>P38*Assumptions!$B$15</f>
        <v>48358000</v>
      </c>
      <c r="S38" s="4">
        <f>P38*Assumptions!$B$16</f>
        <v>24179000</v>
      </c>
      <c r="T38" s="4">
        <f>(Q38*Assumptions!$C$14+R38*Assumptions!$C$15)/12</f>
        <v>997383.75</v>
      </c>
    </row>
    <row r="39" spans="1:20" x14ac:dyDescent="0.25">
      <c r="A39">
        <v>36</v>
      </c>
      <c r="B39" t="s">
        <v>77</v>
      </c>
      <c r="C39" s="3">
        <v>0</v>
      </c>
      <c r="D39" s="3">
        <v>0</v>
      </c>
      <c r="E39" s="3">
        <v>0</v>
      </c>
      <c r="F39" s="3">
        <v>12</v>
      </c>
      <c r="G39" s="3">
        <f>G38+C39-ROUND(G38*Assumptions!$B$6,0)</f>
        <v>811</v>
      </c>
      <c r="H39" s="3">
        <f>H38+D39-ROUND(H38*Assumptions!$C$6,0)</f>
        <v>156</v>
      </c>
      <c r="I39" s="3">
        <f>I38+E39-ROUND(I38*Assumptions!$D$6,0)</f>
        <v>310</v>
      </c>
      <c r="J39" s="3">
        <f>J38+F39-ROUND(J38*Assumptions!$E$6,0)</f>
        <v>156</v>
      </c>
      <c r="K39" s="8">
        <f>SUM(G39:J39)</f>
        <v>1433</v>
      </c>
      <c r="L39" s="4">
        <f>G39*Assumptions!$B$7+H39*Assumptions!$C$7+I39*Assumptions!$D$7+J39*Assumptions!$E$7</f>
        <v>3710600</v>
      </c>
      <c r="M39" s="4">
        <f>G39*Assumptions!$B$7*Assumptions!$B$8+H39*Assumptions!$C$7*Assumptions!$C$8+I39*Assumptions!$D$7*Assumptions!$D$8+J39*Assumptions!$E$7*Assumptions!$E$8</f>
        <v>783356</v>
      </c>
      <c r="N39" s="4">
        <f>C39*Assumptions!$B$5+D39*Assumptions!$C$5+E39*Assumptions!$D$5+F39*Assumptions!$E$5</f>
        <v>18000</v>
      </c>
      <c r="O39" s="4">
        <f>M39-N39</f>
        <v>765356</v>
      </c>
      <c r="P39" s="4">
        <f>G39*Assumptions!$B$9+H39*Assumptions!$C$9+I39*Assumptions!$D$9+J39*Assumptions!$E$9</f>
        <v>242090000</v>
      </c>
      <c r="Q39" s="4">
        <f>P39*Assumptions!$B$14</f>
        <v>169463000</v>
      </c>
      <c r="R39" s="4">
        <f>P39*Assumptions!$B$15</f>
        <v>48418000</v>
      </c>
      <c r="S39" s="4">
        <f>P39*Assumptions!$B$16</f>
        <v>24209000</v>
      </c>
      <c r="T39" s="4">
        <f>(Q39*Assumptions!$C$14+R39*Assumptions!$C$15)/12</f>
        <v>998621.25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FormatPr defaultRowHeight="15" outlineLevelRow="0" outlineLevelCol="0" x14ac:dyDescent="55"/>
  <cols>
    <col min="1" max="1" width="42" customWidth="1"/>
    <col min="2" max="2" width="20" customWidth="1"/>
    <col min="3" max="4" width="18" customWidth="1"/>
  </cols>
  <sheetData>
    <row r="1" spans="1:1" x14ac:dyDescent="0.25">
      <c r="A1" s="9" t="s">
        <v>78</v>
      </c>
    </row>
    <row r="3" spans="1:2" x14ac:dyDescent="0.25">
      <c r="A3" t="s">
        <v>79</v>
      </c>
      <c r="B3" s="8">
        <f>Assumptions!B18</f>
        <v>400</v>
      </c>
    </row>
    <row r="4" spans="1:2" x14ac:dyDescent="0.25">
      <c r="A4" t="s">
        <v>80</v>
      </c>
      <c r="B4" s="8">
        <f>Model!K39</f>
        <v>1433</v>
      </c>
    </row>
    <row r="5" spans="1:2" x14ac:dyDescent="0.25">
      <c r="A5" t="s">
        <v>81</v>
      </c>
      <c r="B5" s="8">
        <f>Model!K39-Assumptions!B18</f>
        <v>1033</v>
      </c>
    </row>
    <row r="7" spans="1:1" x14ac:dyDescent="0.25">
      <c r="A7" s="2" t="s">
        <v>82</v>
      </c>
    </row>
    <row r="8" spans="1:2" x14ac:dyDescent="0.25">
      <c r="A8" t="s">
        <v>83</v>
      </c>
      <c r="B8" s="3">
        <f>Model!G39</f>
        <v>811</v>
      </c>
    </row>
    <row r="9" spans="1:2" x14ac:dyDescent="0.25">
      <c r="A9" t="s">
        <v>84</v>
      </c>
      <c r="B9" s="3">
        <f>Model!H39</f>
        <v>156</v>
      </c>
    </row>
    <row r="10" spans="1:2" x14ac:dyDescent="0.25">
      <c r="A10" t="s">
        <v>85</v>
      </c>
      <c r="B10" s="3">
        <f>Model!I39</f>
        <v>310</v>
      </c>
    </row>
    <row r="11" spans="1:2" x14ac:dyDescent="0.25">
      <c r="A11" t="s">
        <v>86</v>
      </c>
      <c r="B11" s="3">
        <f>Model!J39</f>
        <v>156</v>
      </c>
    </row>
    <row r="13" spans="1:2" x14ac:dyDescent="0.25">
      <c r="A13" t="s">
        <v>87</v>
      </c>
      <c r="B13" s="10">
        <f>MAX(Model!P4:P39)</f>
        <v>242090000</v>
      </c>
    </row>
    <row r="14" spans="1:2" x14ac:dyDescent="0.25">
      <c r="A14" t="s">
        <v>88</v>
      </c>
      <c r="B14" s="10">
        <f>MAX(Model!S4:S39)</f>
        <v>24209000</v>
      </c>
    </row>
    <row r="15" spans="1:2" x14ac:dyDescent="0.25">
      <c r="A15" t="s">
        <v>89</v>
      </c>
      <c r="B15" s="10">
        <f>SUM(Model!N4:N39)</f>
        <v>689950</v>
      </c>
    </row>
    <row r="16" spans="1:2" x14ac:dyDescent="0.25">
      <c r="A16" t="s">
        <v>90</v>
      </c>
      <c r="B16" s="10">
        <f>SUM(Model!O4:O39)</f>
        <v>21405982</v>
      </c>
    </row>
    <row r="17" spans="1:2" x14ac:dyDescent="0.25">
      <c r="A17" t="s">
        <v>91</v>
      </c>
      <c r="B17" s="10">
        <f>Model!G39*Assumptions!B9*Assumptions!B10+Model!H39*Assumptions!C9*Assumptions!C10+Model!I39*Assumptions!D9*Assumptions!D10+Model!J39*Assumptions!E9*Assumptions!E10</f>
        <v>109399500</v>
      </c>
    </row>
    <row r="18" spans="1:2" x14ac:dyDescent="0.25">
      <c r="A18" t="s">
        <v>92</v>
      </c>
      <c r="B18" s="10">
        <f>B17*-Assumptions!B17</f>
        <v>16409925</v>
      </c>
    </row>
    <row r="20" spans="1:1" x14ac:dyDescent="0.25">
      <c r="A20" s="2" t="s">
        <v>93</v>
      </c>
    </row>
    <row r="21" spans="1:4" x14ac:dyDescent="0.25">
      <c r="A21" s="2" t="s">
        <v>94</v>
      </c>
      <c r="B21" s="2" t="s">
        <v>95</v>
      </c>
      <c r="C21" s="2" t="s">
        <v>7</v>
      </c>
      <c r="D21" s="2" t="s">
        <v>96</v>
      </c>
    </row>
    <row r="22" spans="1:4" x14ac:dyDescent="0.25">
      <c r="A22" t="s">
        <v>2</v>
      </c>
      <c r="B22" s="4">
        <f>Assumptions!B7*Assumptions!B8*MIN(Assumptions!B11,1/Assumptions!B6)</f>
        <v>17160</v>
      </c>
      <c r="C22" s="4">
        <f>Assumptions!B5</f>
        <v>350</v>
      </c>
      <c r="D22" s="11">
        <f>B22/C22</f>
        <v>49.03</v>
      </c>
    </row>
    <row r="23" spans="1:4" x14ac:dyDescent="0.25">
      <c r="A23" t="s">
        <v>3</v>
      </c>
      <c r="B23" s="4">
        <f>Assumptions!C7*Assumptions!C8*MIN(Assumptions!C11,1/Assumptions!C6)</f>
        <v>17160</v>
      </c>
      <c r="C23" s="4">
        <f>Assumptions!C5</f>
        <v>600</v>
      </c>
      <c r="D23" s="11">
        <f>B23/C23</f>
        <v>28.6</v>
      </c>
    </row>
    <row r="24" spans="1:4" x14ac:dyDescent="0.25">
      <c r="A24" t="s">
        <v>4</v>
      </c>
      <c r="B24" s="4">
        <f>Assumptions!D7*Assumptions!D8*MIN(Assumptions!D11,1/Assumptions!D6)</f>
        <v>11520</v>
      </c>
      <c r="C24" s="4">
        <f>Assumptions!D5</f>
        <v>250</v>
      </c>
      <c r="D24" s="11">
        <f>B24/C24</f>
        <v>46.08</v>
      </c>
    </row>
    <row r="25" spans="1:4" x14ac:dyDescent="0.25">
      <c r="A25" t="s">
        <v>5</v>
      </c>
      <c r="B25" s="4">
        <f>Assumptions!E7*Assumptions!E8*MIN(Assumptions!E11,1/Assumptions!E6)</f>
        <v>9396</v>
      </c>
      <c r="C25" s="4">
        <f>Assumptions!E5</f>
        <v>1500</v>
      </c>
      <c r="D25" s="11">
        <f>B25/C25</f>
        <v>6.26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FormatPr defaultRowHeight="15" outlineLevelRow="0" outlineLevelCol="0" x14ac:dyDescent="55"/>
  <cols>
    <col min="1" max="1" width="110" customWidth="1"/>
  </cols>
  <sheetData>
    <row r="1" spans="1:1" x14ac:dyDescent="0.25">
      <c r="A1" s="1" t="s">
        <v>97</v>
      </c>
    </row>
    <row r="2" spans="1:1" x14ac:dyDescent="0.25">
      <c r="A2" t="s">
        <v>98</v>
      </c>
    </row>
    <row r="3" spans="1:1" x14ac:dyDescent="0.25">
      <c r="A3" t="s">
        <v>99</v>
      </c>
    </row>
    <row r="4" spans="1:1" x14ac:dyDescent="0.25">
      <c r="A4" t="s">
        <v>100</v>
      </c>
    </row>
    <row r="5" spans="1:1" x14ac:dyDescent="0.25">
      <c r="A5" t="s">
        <v>98</v>
      </c>
    </row>
    <row r="6" spans="1:1" x14ac:dyDescent="0.25">
      <c r="A6" t="s">
        <v>101</v>
      </c>
    </row>
    <row r="7" spans="1:1" x14ac:dyDescent="0.25">
      <c r="A7" t="s">
        <v>102</v>
      </c>
    </row>
    <row r="8" spans="1:1" x14ac:dyDescent="0.25">
      <c r="A8" t="s">
        <v>98</v>
      </c>
    </row>
    <row r="9" spans="1:1" x14ac:dyDescent="0.25">
      <c r="A9" s="2" t="s">
        <v>103</v>
      </c>
    </row>
    <row r="10" spans="1:1" x14ac:dyDescent="0.25">
      <c r="A10" t="s">
        <v>104</v>
      </c>
    </row>
    <row r="11" spans="1:1" x14ac:dyDescent="0.25">
      <c r="A11" t="s">
        <v>105</v>
      </c>
    </row>
    <row r="12" spans="1:1" x14ac:dyDescent="0.25">
      <c r="A12" t="s">
        <v>106</v>
      </c>
    </row>
    <row r="13" spans="1:1" x14ac:dyDescent="0.25">
      <c r="A13" t="s">
        <v>107</v>
      </c>
    </row>
    <row r="14" spans="1:1" x14ac:dyDescent="0.25">
      <c r="A14" t="s">
        <v>108</v>
      </c>
    </row>
    <row r="15" spans="1:1" x14ac:dyDescent="0.25">
      <c r="A15" t="s">
        <v>98</v>
      </c>
    </row>
    <row r="16" spans="1:1" x14ac:dyDescent="0.25">
      <c r="A16" s="2" t="s">
        <v>109</v>
      </c>
    </row>
    <row r="17" spans="1:1" x14ac:dyDescent="0.25">
      <c r="A17" t="s">
        <v>110</v>
      </c>
    </row>
    <row r="18" spans="1:1" x14ac:dyDescent="0.25">
      <c r="A18" t="s">
        <v>111</v>
      </c>
    </row>
    <row r="19" spans="1:1" x14ac:dyDescent="0.25">
      <c r="A19" t="s">
        <v>112</v>
      </c>
    </row>
    <row r="20" spans="1:1" x14ac:dyDescent="0.25">
      <c r="A20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Assumptions</vt:lpstr>
      <vt:lpstr>Model</vt:lpstr>
      <vt:lpstr>Summary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drivEV</dc:creator>
  <dc:title/>
  <dc:subject/>
  <dc:description/>
  <cp:keywords/>
  <cp:category/>
  <cp:lastModifiedBy>Unknown</cp:lastModifiedBy>
  <dcterms:created xsi:type="dcterms:W3CDTF">2026-06-16T11:13:20Z</dcterms:created>
  <dcterms:modified xsi:type="dcterms:W3CDTF">2026-06-16T11:13:20Z</dcterms:modified>
</cp:coreProperties>
</file>